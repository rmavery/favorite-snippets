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s\rma_singles\xls\"/>
    </mc:Choice>
  </mc:AlternateContent>
  <bookViews>
    <workbookView xWindow="0" yWindow="0" windowWidth="25200" windowHeight="11850"/>
  </bookViews>
  <sheets>
    <sheet name="GoogleDistance" sheetId="2" r:id="rId1"/>
    <sheet name="Straight Distance and Bearing" sheetId="4" r:id="rId2"/>
  </sheets>
  <functionGroups builtInGroupCount="18"/>
  <definedNames>
    <definedName name="Direction_Precision">'Straight Distance and Bearing'!$J$1</definedName>
    <definedName name="Planet_Radius">'Straight Distance and Bearing'!$B$1</definedName>
    <definedName name="PRECISION">#REF!</definedName>
  </definedNames>
  <calcPr calcId="162913"/>
</workbook>
</file>

<file path=xl/calcChain.xml><?xml version="1.0" encoding="utf-8"?>
<calcChain xmlns="http://schemas.openxmlformats.org/spreadsheetml/2006/main">
  <c r="H5" i="4" l="1"/>
  <c r="I5" i="4"/>
  <c r="P5" i="4"/>
  <c r="Q5" i="4"/>
  <c r="P6" i="4"/>
  <c r="Q6" i="4"/>
  <c r="P7" i="4"/>
  <c r="Q7" i="4"/>
  <c r="P8" i="4"/>
  <c r="Q8" i="4"/>
  <c r="P9" i="4"/>
  <c r="Q9" i="4"/>
  <c r="P10" i="4"/>
  <c r="Q10" i="4"/>
  <c r="Q4" i="4"/>
  <c r="P4" i="4"/>
  <c r="N5" i="4"/>
  <c r="N6" i="4"/>
  <c r="N7" i="4"/>
  <c r="N8" i="4"/>
  <c r="N9" i="4"/>
  <c r="N10" i="4"/>
  <c r="M5" i="4"/>
  <c r="M6" i="4"/>
  <c r="M7" i="4"/>
  <c r="M8" i="4"/>
  <c r="M9" i="4"/>
  <c r="M10" i="4"/>
  <c r="N4" i="4"/>
  <c r="M4" i="4"/>
  <c r="S5" i="4"/>
  <c r="S6" i="4"/>
  <c r="H6" i="4" s="1"/>
  <c r="S7" i="4"/>
  <c r="H7" i="4" s="1"/>
  <c r="S8" i="4"/>
  <c r="H8" i="4" s="1"/>
  <c r="S9" i="4"/>
  <c r="H9" i="4" s="1"/>
  <c r="S10" i="4"/>
  <c r="H10" i="4" s="1"/>
  <c r="S4" i="4"/>
  <c r="H4" i="4" s="1"/>
  <c r="J5" i="4"/>
  <c r="O6" i="4" l="1"/>
  <c r="O8" i="4"/>
  <c r="O7" i="4"/>
  <c r="O5" i="4"/>
  <c r="O10" i="4"/>
  <c r="O9" i="4"/>
  <c r="R9" i="4"/>
  <c r="T9" i="4" s="1"/>
  <c r="I9" i="4" s="1"/>
  <c r="R4" i="4"/>
  <c r="T4" i="4" s="1"/>
  <c r="I4" i="4" s="1"/>
  <c r="R5" i="4"/>
  <c r="T5" i="4" s="1"/>
  <c r="R8" i="4"/>
  <c r="T8" i="4" s="1"/>
  <c r="I8" i="4" s="1"/>
  <c r="O4" i="4"/>
  <c r="R7" i="4"/>
  <c r="T7" i="4" s="1"/>
  <c r="I7" i="4" s="1"/>
  <c r="R6" i="4"/>
  <c r="T6" i="4" s="1"/>
  <c r="I6" i="4" s="1"/>
  <c r="R10" i="4"/>
  <c r="T10" i="4" s="1"/>
  <c r="I10" i="4" s="1"/>
  <c r="J8" i="4"/>
  <c r="J9" i="4"/>
  <c r="J7" i="4"/>
  <c r="J6" i="4"/>
  <c r="J4" i="4"/>
  <c r="J10" i="4"/>
</calcChain>
</file>

<file path=xl/comments1.xml><?xml version="1.0" encoding="utf-8"?>
<comments xmlns="http://schemas.openxmlformats.org/spreadsheetml/2006/main">
  <authors>
    <author>Ralph Avery</author>
  </authors>
  <commentList>
    <comment ref="A2" authorId="0" shapeId="0">
      <text>
        <r>
          <rPr>
            <sz val="9"/>
            <color indexed="81"/>
            <rFont val="Tahoma"/>
            <family val="2"/>
          </rPr>
          <t xml:space="preserve">Complete the information in columns (A - G). 
A is something I used because I was putting this into a database.  It's not needed for anything else really.  
B and C are just informational.  Not necessary. 
</t>
        </r>
      </text>
    </comment>
  </commentList>
</comments>
</file>

<file path=xl/sharedStrings.xml><?xml version="1.0" encoding="utf-8"?>
<sst xmlns="http://schemas.openxmlformats.org/spreadsheetml/2006/main" count="36" uniqueCount="36">
  <si>
    <t>From</t>
  </si>
  <si>
    <t>To</t>
  </si>
  <si>
    <t>Distance</t>
  </si>
  <si>
    <t>Via1</t>
  </si>
  <si>
    <t>Via2</t>
  </si>
  <si>
    <t>Time</t>
  </si>
  <si>
    <t>Either split the route into columns A, B, C and D</t>
  </si>
  <si>
    <t>or provide a | delimited list of postcodes/addresses</t>
  </si>
  <si>
    <t>Bearing</t>
  </si>
  <si>
    <t>Lat1</t>
  </si>
  <si>
    <t>Long1</t>
  </si>
  <si>
    <t>Lat2</t>
  </si>
  <si>
    <t>Long2</t>
  </si>
  <si>
    <r>
      <t>φ</t>
    </r>
    <r>
      <rPr>
        <b/>
        <vertAlign val="subscript"/>
        <sz val="10"/>
        <rFont val="Arial"/>
        <family val="2"/>
      </rPr>
      <t>1</t>
    </r>
  </si>
  <si>
    <r>
      <t>φ</t>
    </r>
    <r>
      <rPr>
        <b/>
        <vertAlign val="subscript"/>
        <sz val="10"/>
        <rFont val="Arial"/>
        <family val="2"/>
      </rPr>
      <t>2</t>
    </r>
  </si>
  <si>
    <t>∆φ</t>
  </si>
  <si>
    <r>
      <t>λ</t>
    </r>
    <r>
      <rPr>
        <b/>
        <vertAlign val="subscript"/>
        <sz val="10"/>
        <rFont val="Arial"/>
        <family val="2"/>
      </rPr>
      <t>1</t>
    </r>
  </si>
  <si>
    <r>
      <t>λ</t>
    </r>
    <r>
      <rPr>
        <b/>
        <vertAlign val="subscript"/>
        <sz val="10"/>
        <rFont val="Arial"/>
        <family val="2"/>
      </rPr>
      <t>2</t>
    </r>
  </si>
  <si>
    <t>∆λ</t>
  </si>
  <si>
    <t>Straight Distance</t>
  </si>
  <si>
    <t>Distance 
Calculation</t>
  </si>
  <si>
    <t>Paste results in Green area ONLY.  H and I are formulas</t>
  </si>
  <si>
    <t>Planet Radius</t>
  </si>
  <si>
    <t>Miles</t>
  </si>
  <si>
    <t>Final Bearing 
(Angle)</t>
  </si>
  <si>
    <t>Direction</t>
  </si>
  <si>
    <t>Precision</t>
  </si>
  <si>
    <t>Location 1</t>
  </si>
  <si>
    <t>Location 2</t>
  </si>
  <si>
    <t>UID</t>
  </si>
  <si>
    <t>Bess Brannon</t>
  </si>
  <si>
    <t>Snipe</t>
  </si>
  <si>
    <t>5462 Rising Tide, North Charleston, SC 29420</t>
  </si>
  <si>
    <t>Beulah Baptist Churck</t>
  </si>
  <si>
    <t>29.9795212999999980,-95.7170389000000060</t>
  </si>
  <si>
    <t>29.9745420000000000,-95.7013577000000000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</si>
</sst>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0"/>
      <name val="Arial"/>
      <family val="2"/>
    </font>
    <font>
      <b/>
      <vertAlign val="subscript"/>
      <sz val="10"/>
      <name val="Arial"/>
      <family val="2"/>
    </font>
    <font>
      <sz val="1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indexed="0"/>
      </patternFill>
    </fill>
    <fill>
      <patternFill patternType="solid">
        <fgColor theme="8" tint="0.7999816888943144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5">
    <xf numFmtId="0" fontId="0" fillId="0" borderId="0"/>
    <xf numFmtId="0" fontId="2" fillId="0" borderId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0" applyNumberFormat="0" applyBorder="0" applyAlignment="0" applyProtection="0"/>
  </cellStyleXfs>
  <cellXfs count="21">
    <xf numFmtId="0" fontId="0" fillId="0" borderId="0" xfId="0"/>
    <xf numFmtId="0" fontId="4" fillId="0" borderId="0" xfId="0" applyFont="1"/>
    <xf numFmtId="0" fontId="3" fillId="0" borderId="1" xfId="1" applyFont="1" applyFill="1" applyBorder="1" applyAlignment="1">
      <alignment wrapText="1"/>
    </xf>
    <xf numFmtId="2" fontId="0" fillId="0" borderId="0" xfId="0" applyNumberFormat="1"/>
    <xf numFmtId="2" fontId="0" fillId="0" borderId="0" xfId="0" applyNumberFormat="1" applyAlignment="1">
      <alignment wrapText="1"/>
    </xf>
    <xf numFmtId="21" fontId="0" fillId="0" borderId="0" xfId="0" applyNumberFormat="1"/>
    <xf numFmtId="21" fontId="0" fillId="0" borderId="0" xfId="0" applyNumberFormat="1" applyAlignment="1">
      <alignment wrapText="1"/>
    </xf>
    <xf numFmtId="2" fontId="4" fillId="2" borderId="2" xfId="0" applyNumberFormat="1" applyFont="1" applyFill="1" applyBorder="1"/>
    <xf numFmtId="0" fontId="1" fillId="3" borderId="2" xfId="1" applyFont="1" applyFill="1" applyBorder="1" applyAlignment="1">
      <alignment horizontal="center"/>
    </xf>
    <xf numFmtId="0" fontId="5" fillId="0" borderId="0" xfId="0" applyFont="1" applyAlignment="1">
      <alignment horizontal="right"/>
    </xf>
    <xf numFmtId="0" fontId="5" fillId="0" borderId="0" xfId="0" applyFont="1" applyAlignment="1">
      <alignment horizontal="left"/>
    </xf>
    <xf numFmtId="0" fontId="1" fillId="4" borderId="3" xfId="1" applyFont="1" applyFill="1" applyBorder="1" applyAlignment="1">
      <alignment horizontal="center"/>
    </xf>
    <xf numFmtId="20" fontId="0" fillId="0" borderId="0" xfId="0" applyNumberForma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center" wrapText="1"/>
    </xf>
    <xf numFmtId="165" fontId="0" fillId="0" borderId="0" xfId="0" applyNumberFormat="1"/>
    <xf numFmtId="164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11" fillId="5" borderId="0" xfId="2" applyFont="1"/>
    <xf numFmtId="0" fontId="8" fillId="7" borderId="0" xfId="4" applyAlignment="1">
      <alignment horizontal="center" vertical="center"/>
    </xf>
    <xf numFmtId="0" fontId="12" fillId="6" borderId="0" xfId="3" applyFont="1" applyAlignment="1">
      <alignment horizontal="center"/>
    </xf>
  </cellXfs>
  <cellStyles count="5">
    <cellStyle name="Bad" xfId="3" builtinId="27"/>
    <cellStyle name="Good" xfId="2" builtinId="26"/>
    <cellStyle name="Neutral" xfId="4" builtinId="28"/>
    <cellStyle name="Normal" xfId="0" builtinId="0"/>
    <cellStyle name="Normal_AddressFiller" xfId="1"/>
  </cellStyles>
  <dxfs count="19">
    <dxf>
      <numFmt numFmtId="165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numFmt numFmtId="0" formatCode="General"/>
    </dxf>
    <dxf>
      <numFmt numFmtId="165" formatCode="0.00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171450</xdr:rowOff>
        </xdr:from>
        <xdr:to>
          <xdr:col>11</xdr:col>
          <xdr:colOff>295275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Travel Times / Distances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3:J10" totalsRowShown="0">
  <autoFilter ref="A3:J10"/>
  <tableColumns count="10">
    <tableColumn id="1" name="UID" dataDxfId="18" dataCellStyle="Good"/>
    <tableColumn id="2" name="Location 1" dataDxfId="17" dataCellStyle="Good"/>
    <tableColumn id="3" name="Location 2" dataDxfId="16" dataCellStyle="Good"/>
    <tableColumn id="4" name="Lat1" dataDxfId="15" dataCellStyle="Good"/>
    <tableColumn id="5" name="Long1" dataDxfId="14" dataCellStyle="Good"/>
    <tableColumn id="6" name="Lat2" dataDxfId="13" dataCellStyle="Good"/>
    <tableColumn id="7" name="Long2" dataDxfId="12" dataCellStyle="Good"/>
    <tableColumn id="8" name="Straight Distance" dataDxfId="11">
      <calculatedColumnFormula>S4</calculatedColumnFormula>
    </tableColumn>
    <tableColumn id="9" name="Bearing" dataDxfId="10">
      <calculatedColumnFormula>T4</calculatedColumnFormula>
    </tableColumn>
    <tableColumn id="10" name="Direction" dataDxfId="9" dataCellStyle="Good">
      <calculatedColumnFormula>GetBearing(I4,Direction_Precision)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M3:T10" totalsRowShown="0" headerRowDxfId="8" dataDxfId="7">
  <autoFilter ref="M3:T10"/>
  <tableColumns count="8">
    <tableColumn id="1" name="φ1" dataDxfId="6">
      <calculatedColumnFormula>RADIANS(D4)</calculatedColumnFormula>
    </tableColumn>
    <tableColumn id="2" name="φ2" dataDxfId="5">
      <calculatedColumnFormula>RADIANS(F4)</calculatedColumnFormula>
    </tableColumn>
    <tableColumn id="3" name="∆φ" dataDxfId="4">
      <calculatedColumnFormula>N4-M4</calculatedColumnFormula>
    </tableColumn>
    <tableColumn id="4" name="λ1" dataDxfId="3">
      <calculatedColumnFormula>RADIANS(E4)</calculatedColumnFormula>
    </tableColumn>
    <tableColumn id="5" name="λ2" dataDxfId="2">
      <calculatedColumnFormula>RADIANS(G4)</calculatedColumnFormula>
    </tableColumn>
    <tableColumn id="6" name="∆λ" dataDxfId="1">
      <calculatedColumnFormula>Q4-P4</calculatedColumnFormula>
    </tableColumn>
    <tableColumn id="7" name="Distance _x000a_Calculation" dataDxfId="0">
      <calculatedColumnFormula>Planet_Radius*(2*ATAN2(SQRT(1-((SIN(RADIANS(F4-D4)/2)^2)+COS(RADIANS(D4))*COS(RADIANS(F4))*(SIN(RADIANS(G4-E4)/2)^2))),SQRT(((SIN(RADIANS(F4-D4)/2)^2)+COS(RADIANS(D4))*COS(RADIANS(F4))*(SIN(RADIANS(G4-E4)/2)^2)))))</calculatedColumnFormula>
    </tableColumn>
    <tableColumn id="8" name="Final Bearing _x000a_(Angle)">
      <calculatedColumnFormula>MOD(DEGREES(ATAN2(COS(N4)*SIN(M4)-SIN(N4)*COS(M4)*COS(-R4),SIN(-R4)*COS(M4)))-180,360)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155"/>
  <sheetViews>
    <sheetView tabSelected="1" workbookViewId="0">
      <selection activeCell="F9" sqref="F9"/>
    </sheetView>
  </sheetViews>
  <sheetFormatPr defaultRowHeight="15" x14ac:dyDescent="0.25"/>
  <cols>
    <col min="1" max="1" width="40.42578125" bestFit="1" customWidth="1"/>
    <col min="2" max="3" width="13.28515625" customWidth="1"/>
    <col min="4" max="4" width="40.42578125" bestFit="1" customWidth="1"/>
    <col min="5" max="5" width="14.28515625" style="3" customWidth="1"/>
    <col min="6" max="6" width="16.140625" customWidth="1"/>
  </cols>
  <sheetData>
    <row r="1" spans="1:14" x14ac:dyDescent="0.25">
      <c r="A1" s="11" t="s">
        <v>0</v>
      </c>
      <c r="B1" s="11" t="s">
        <v>3</v>
      </c>
      <c r="C1" s="11" t="s">
        <v>4</v>
      </c>
      <c r="D1" s="11" t="s">
        <v>1</v>
      </c>
      <c r="E1" s="7" t="s">
        <v>2</v>
      </c>
      <c r="F1" s="8" t="s">
        <v>5</v>
      </c>
      <c r="M1" s="9"/>
      <c r="N1" s="10"/>
    </row>
    <row r="2" spans="1:14" x14ac:dyDescent="0.25">
      <c r="A2" s="2" t="s">
        <v>34</v>
      </c>
      <c r="B2" s="2"/>
      <c r="C2" s="2"/>
      <c r="D2" s="2" t="s">
        <v>35</v>
      </c>
      <c r="E2" s="4">
        <v>4.4000000000000004</v>
      </c>
      <c r="F2" s="6">
        <v>4.8611111111111112E-3</v>
      </c>
    </row>
    <row r="3" spans="1:14" x14ac:dyDescent="0.25">
      <c r="A3" s="2"/>
      <c r="B3" s="2"/>
      <c r="C3" s="2"/>
      <c r="D3" s="2"/>
      <c r="E3" s="4"/>
      <c r="F3" s="6"/>
    </row>
    <row r="4" spans="1:14" x14ac:dyDescent="0.25">
      <c r="A4" s="2"/>
      <c r="B4" s="2"/>
      <c r="C4" s="2"/>
      <c r="D4" s="2"/>
      <c r="E4" s="4"/>
      <c r="F4" s="6"/>
    </row>
    <row r="5" spans="1:14" x14ac:dyDescent="0.25">
      <c r="A5" s="2"/>
      <c r="B5" s="2"/>
      <c r="C5" s="2"/>
      <c r="D5" s="2"/>
      <c r="E5" s="4"/>
      <c r="F5" s="6"/>
      <c r="H5" t="s">
        <v>6</v>
      </c>
    </row>
    <row r="6" spans="1:14" x14ac:dyDescent="0.25">
      <c r="A6" s="2"/>
      <c r="B6" s="2"/>
      <c r="C6" s="2"/>
      <c r="D6" s="2"/>
      <c r="F6" s="5"/>
      <c r="H6" t="s">
        <v>7</v>
      </c>
    </row>
    <row r="7" spans="1:14" x14ac:dyDescent="0.25">
      <c r="A7" s="2"/>
      <c r="B7" s="2"/>
      <c r="C7" s="2"/>
      <c r="D7" s="2"/>
      <c r="F7" s="5"/>
    </row>
    <row r="8" spans="1:14" x14ac:dyDescent="0.25">
      <c r="A8" s="2"/>
      <c r="B8" s="2"/>
      <c r="C8" s="2"/>
      <c r="D8" s="2"/>
      <c r="F8" s="12"/>
      <c r="G8" s="1"/>
    </row>
    <row r="9" spans="1:14" x14ac:dyDescent="0.25">
      <c r="A9" s="2"/>
      <c r="B9" s="2"/>
      <c r="C9" s="2"/>
      <c r="D9" s="2"/>
      <c r="F9" s="12"/>
    </row>
    <row r="10" spans="1:14" x14ac:dyDescent="0.25">
      <c r="A10" s="2"/>
      <c r="B10" s="2"/>
      <c r="C10" s="2"/>
      <c r="D10" s="2"/>
      <c r="F10" s="12"/>
    </row>
    <row r="11" spans="1:14" x14ac:dyDescent="0.25">
      <c r="A11" s="2"/>
      <c r="B11" s="2"/>
      <c r="C11" s="2"/>
      <c r="D11" s="2"/>
      <c r="F11" s="12"/>
    </row>
    <row r="12" spans="1:14" x14ac:dyDescent="0.25">
      <c r="A12" s="2"/>
      <c r="B12" s="2"/>
      <c r="C12" s="2"/>
      <c r="D12" s="2"/>
      <c r="F12" s="12"/>
    </row>
    <row r="13" spans="1:14" x14ac:dyDescent="0.25">
      <c r="A13" s="2"/>
      <c r="B13" s="2"/>
      <c r="C13" s="2"/>
      <c r="D13" s="2"/>
      <c r="F13" s="12"/>
    </row>
    <row r="14" spans="1:14" x14ac:dyDescent="0.25">
      <c r="A14" s="2"/>
      <c r="B14" s="2"/>
      <c r="C14" s="2"/>
      <c r="D14" s="2"/>
      <c r="F14" s="12"/>
    </row>
    <row r="15" spans="1:14" x14ac:dyDescent="0.25">
      <c r="A15" s="2"/>
      <c r="B15" s="2"/>
      <c r="C15" s="2"/>
      <c r="D15" s="2"/>
      <c r="F15" s="12"/>
    </row>
    <row r="16" spans="1:14" x14ac:dyDescent="0.25">
      <c r="A16" s="2"/>
      <c r="B16" s="2"/>
      <c r="C16" s="2"/>
      <c r="D16" s="2"/>
      <c r="F16" s="12"/>
    </row>
    <row r="17" spans="1:6" x14ac:dyDescent="0.25">
      <c r="A17" s="2"/>
      <c r="B17" s="2"/>
      <c r="C17" s="2"/>
      <c r="D17" s="2"/>
      <c r="F17" s="12"/>
    </row>
    <row r="18" spans="1:6" x14ac:dyDescent="0.25">
      <c r="A18" s="2"/>
      <c r="B18" s="2"/>
      <c r="C18" s="2"/>
      <c r="D18" s="2"/>
      <c r="F18" s="12"/>
    </row>
    <row r="19" spans="1:6" x14ac:dyDescent="0.25">
      <c r="A19" s="2"/>
      <c r="B19" s="2"/>
      <c r="C19" s="2"/>
      <c r="D19" s="2"/>
      <c r="F19" s="12"/>
    </row>
    <row r="20" spans="1:6" x14ac:dyDescent="0.25">
      <c r="A20" s="2"/>
      <c r="B20" s="2"/>
      <c r="C20" s="2"/>
      <c r="D20" s="2"/>
      <c r="F20" s="12"/>
    </row>
    <row r="21" spans="1:6" x14ac:dyDescent="0.25">
      <c r="A21" s="2"/>
      <c r="B21" s="2"/>
      <c r="C21" s="2"/>
      <c r="D21" s="2"/>
      <c r="F21" s="12"/>
    </row>
    <row r="22" spans="1:6" x14ac:dyDescent="0.25">
      <c r="A22" s="2"/>
      <c r="B22" s="2"/>
      <c r="C22" s="2"/>
      <c r="D22" s="2"/>
      <c r="F22" s="12"/>
    </row>
    <row r="23" spans="1:6" x14ac:dyDescent="0.25">
      <c r="A23" s="2"/>
      <c r="B23" s="2"/>
      <c r="C23" s="2"/>
      <c r="D23" s="2"/>
      <c r="F23" s="12"/>
    </row>
    <row r="24" spans="1:6" x14ac:dyDescent="0.25">
      <c r="A24" s="2"/>
      <c r="B24" s="2"/>
      <c r="C24" s="2"/>
      <c r="D24" s="2"/>
      <c r="F24" s="12"/>
    </row>
    <row r="25" spans="1:6" x14ac:dyDescent="0.25">
      <c r="A25" s="2"/>
      <c r="B25" s="2"/>
      <c r="C25" s="2"/>
      <c r="D25" s="2"/>
      <c r="F25" s="12"/>
    </row>
    <row r="26" spans="1:6" x14ac:dyDescent="0.25">
      <c r="A26" s="2"/>
      <c r="B26" s="2"/>
      <c r="C26" s="2"/>
      <c r="D26" s="2"/>
      <c r="F26" s="12"/>
    </row>
    <row r="27" spans="1:6" x14ac:dyDescent="0.25">
      <c r="A27" s="2"/>
      <c r="B27" s="2"/>
      <c r="C27" s="2"/>
      <c r="D27" s="2"/>
      <c r="F27" s="12"/>
    </row>
    <row r="28" spans="1:6" x14ac:dyDescent="0.25">
      <c r="A28" s="2"/>
      <c r="B28" s="2"/>
      <c r="C28" s="2"/>
      <c r="D28" s="2"/>
      <c r="F28" s="12"/>
    </row>
    <row r="29" spans="1:6" x14ac:dyDescent="0.25">
      <c r="A29" s="2"/>
      <c r="B29" s="2"/>
      <c r="C29" s="2"/>
      <c r="D29" s="2"/>
      <c r="F29" s="12"/>
    </row>
    <row r="30" spans="1:6" x14ac:dyDescent="0.25">
      <c r="A30" s="2"/>
      <c r="B30" s="2"/>
      <c r="C30" s="2"/>
      <c r="D30" s="2"/>
      <c r="F30" s="12"/>
    </row>
    <row r="31" spans="1:6" x14ac:dyDescent="0.25">
      <c r="A31" s="2"/>
      <c r="B31" s="2"/>
      <c r="C31" s="2"/>
      <c r="D31" s="2"/>
      <c r="F31" s="12"/>
    </row>
    <row r="32" spans="1:6" x14ac:dyDescent="0.25">
      <c r="A32" s="2"/>
      <c r="B32" s="2"/>
      <c r="C32" s="2"/>
      <c r="D32" s="2"/>
      <c r="F32" s="12"/>
    </row>
    <row r="33" spans="1:6" x14ac:dyDescent="0.25">
      <c r="A33" s="2"/>
      <c r="B33" s="2"/>
      <c r="C33" s="2"/>
      <c r="D33" s="2"/>
      <c r="F33" s="12"/>
    </row>
    <row r="34" spans="1:6" x14ac:dyDescent="0.25">
      <c r="A34" s="2"/>
      <c r="B34" s="2"/>
      <c r="C34" s="2"/>
      <c r="D34" s="2"/>
      <c r="F34" s="12"/>
    </row>
    <row r="35" spans="1:6" x14ac:dyDescent="0.25">
      <c r="A35" s="2"/>
      <c r="B35" s="2"/>
      <c r="C35" s="2"/>
      <c r="D35" s="2"/>
      <c r="F35" s="12"/>
    </row>
    <row r="36" spans="1:6" x14ac:dyDescent="0.25">
      <c r="A36" s="2"/>
      <c r="B36" s="2"/>
      <c r="C36" s="2"/>
      <c r="D36" s="2"/>
      <c r="F36" s="12"/>
    </row>
    <row r="37" spans="1:6" x14ac:dyDescent="0.25">
      <c r="A37" s="2"/>
      <c r="B37" s="2"/>
      <c r="C37" s="2"/>
      <c r="D37" s="2"/>
      <c r="F37" s="12"/>
    </row>
    <row r="38" spans="1:6" x14ac:dyDescent="0.25">
      <c r="A38" s="2"/>
      <c r="B38" s="2"/>
      <c r="C38" s="2"/>
      <c r="D38" s="2"/>
      <c r="F38" s="12"/>
    </row>
    <row r="39" spans="1:6" x14ac:dyDescent="0.25">
      <c r="A39" s="2"/>
      <c r="B39" s="2"/>
      <c r="C39" s="2"/>
      <c r="D39" s="2"/>
      <c r="F39" s="12"/>
    </row>
    <row r="40" spans="1:6" x14ac:dyDescent="0.25">
      <c r="A40" s="2"/>
      <c r="B40" s="2"/>
      <c r="C40" s="2"/>
      <c r="D40" s="2"/>
      <c r="F40" s="12"/>
    </row>
    <row r="41" spans="1:6" x14ac:dyDescent="0.25">
      <c r="A41" s="2"/>
      <c r="B41" s="2"/>
      <c r="C41" s="2"/>
      <c r="D41" s="2"/>
      <c r="F41" s="12"/>
    </row>
    <row r="42" spans="1:6" x14ac:dyDescent="0.25">
      <c r="A42" s="2"/>
      <c r="B42" s="2"/>
      <c r="C42" s="2"/>
      <c r="D42" s="2"/>
      <c r="F42" s="12"/>
    </row>
    <row r="43" spans="1:6" x14ac:dyDescent="0.25">
      <c r="A43" s="2"/>
      <c r="B43" s="2"/>
      <c r="C43" s="2"/>
      <c r="D43" s="2"/>
      <c r="F43" s="12"/>
    </row>
    <row r="44" spans="1:6" x14ac:dyDescent="0.25">
      <c r="A44" s="2"/>
      <c r="B44" s="2"/>
      <c r="C44" s="2"/>
      <c r="D44" s="2"/>
      <c r="F44" s="12"/>
    </row>
    <row r="45" spans="1:6" x14ac:dyDescent="0.25">
      <c r="A45" s="2"/>
      <c r="B45" s="2"/>
      <c r="C45" s="2"/>
      <c r="D45" s="2"/>
      <c r="F45" s="12"/>
    </row>
    <row r="46" spans="1:6" x14ac:dyDescent="0.25">
      <c r="A46" s="2"/>
      <c r="B46" s="2"/>
      <c r="C46" s="2"/>
      <c r="D46" s="2"/>
      <c r="F46" s="12"/>
    </row>
    <row r="47" spans="1:6" x14ac:dyDescent="0.25">
      <c r="A47" s="2"/>
      <c r="B47" s="2"/>
      <c r="C47" s="2"/>
      <c r="D47" s="2"/>
      <c r="F47" s="12"/>
    </row>
    <row r="48" spans="1:6" x14ac:dyDescent="0.25">
      <c r="A48" s="2"/>
      <c r="B48" s="2"/>
      <c r="C48" s="2"/>
      <c r="D48" s="2"/>
      <c r="F48" s="12"/>
    </row>
    <row r="49" spans="1:6" x14ac:dyDescent="0.25">
      <c r="A49" s="2"/>
      <c r="B49" s="2"/>
      <c r="C49" s="2"/>
      <c r="D49" s="2"/>
      <c r="F49" s="12"/>
    </row>
    <row r="50" spans="1:6" x14ac:dyDescent="0.25">
      <c r="A50" s="2"/>
      <c r="B50" s="2"/>
      <c r="C50" s="2"/>
      <c r="D50" s="2"/>
      <c r="F50" s="12"/>
    </row>
    <row r="51" spans="1:6" x14ac:dyDescent="0.25">
      <c r="A51" s="2"/>
      <c r="B51" s="2"/>
      <c r="C51" s="2"/>
      <c r="D51" s="2"/>
      <c r="F51" s="12"/>
    </row>
    <row r="52" spans="1:6" x14ac:dyDescent="0.25">
      <c r="A52" s="2"/>
      <c r="B52" s="2"/>
      <c r="C52" s="2"/>
      <c r="D52" s="2"/>
      <c r="F52" s="12"/>
    </row>
    <row r="53" spans="1:6" x14ac:dyDescent="0.25">
      <c r="A53" s="2"/>
      <c r="B53" s="2"/>
      <c r="C53" s="2"/>
      <c r="D53" s="2"/>
      <c r="F53" s="12"/>
    </row>
    <row r="54" spans="1:6" x14ac:dyDescent="0.25">
      <c r="A54" s="2"/>
      <c r="B54" s="2"/>
      <c r="C54" s="2"/>
      <c r="D54" s="2"/>
      <c r="F54" s="12"/>
    </row>
    <row r="55" spans="1:6" x14ac:dyDescent="0.25">
      <c r="A55" s="2"/>
      <c r="B55" s="2"/>
      <c r="C55" s="2"/>
      <c r="D55" s="2"/>
      <c r="F55" s="12"/>
    </row>
    <row r="56" spans="1:6" x14ac:dyDescent="0.25">
      <c r="A56" s="2"/>
      <c r="B56" s="2"/>
      <c r="C56" s="2"/>
      <c r="D56" s="2"/>
      <c r="F56" s="12"/>
    </row>
    <row r="57" spans="1:6" x14ac:dyDescent="0.25">
      <c r="A57" s="2"/>
      <c r="B57" s="2"/>
      <c r="C57" s="2"/>
      <c r="D57" s="2"/>
      <c r="F57" s="12"/>
    </row>
    <row r="58" spans="1:6" x14ac:dyDescent="0.25">
      <c r="A58" s="2"/>
      <c r="B58" s="2"/>
      <c r="C58" s="2"/>
      <c r="D58" s="2"/>
      <c r="F58" s="12"/>
    </row>
    <row r="59" spans="1:6" x14ac:dyDescent="0.25">
      <c r="A59" s="2"/>
      <c r="B59" s="2"/>
      <c r="C59" s="2"/>
      <c r="D59" s="2"/>
      <c r="F59" s="12"/>
    </row>
    <row r="60" spans="1:6" x14ac:dyDescent="0.25">
      <c r="A60" s="2"/>
      <c r="B60" s="2"/>
      <c r="C60" s="2"/>
      <c r="D60" s="2"/>
      <c r="F60" s="12"/>
    </row>
    <row r="61" spans="1:6" x14ac:dyDescent="0.25">
      <c r="A61" s="2"/>
      <c r="B61" s="2"/>
      <c r="C61" s="2"/>
      <c r="D61" s="2"/>
      <c r="F61" s="12"/>
    </row>
    <row r="62" spans="1:6" x14ac:dyDescent="0.25">
      <c r="A62" s="2"/>
      <c r="B62" s="2"/>
      <c r="C62" s="2"/>
      <c r="D62" s="2"/>
      <c r="F62" s="12"/>
    </row>
    <row r="63" spans="1:6" x14ac:dyDescent="0.25">
      <c r="A63" s="2"/>
      <c r="B63" s="2"/>
      <c r="C63" s="2"/>
      <c r="D63" s="2"/>
      <c r="F63" s="12"/>
    </row>
    <row r="64" spans="1:6" x14ac:dyDescent="0.25">
      <c r="A64" s="2"/>
      <c r="B64" s="2"/>
      <c r="C64" s="2"/>
      <c r="D64" s="2"/>
      <c r="F64" s="12"/>
    </row>
    <row r="65" spans="1:6" x14ac:dyDescent="0.25">
      <c r="A65" s="2"/>
      <c r="B65" s="2"/>
      <c r="C65" s="2"/>
      <c r="D65" s="2"/>
      <c r="F65" s="12"/>
    </row>
    <row r="66" spans="1:6" x14ac:dyDescent="0.25">
      <c r="A66" s="2"/>
      <c r="B66" s="2"/>
      <c r="C66" s="2"/>
      <c r="D66" s="2"/>
      <c r="F66" s="12"/>
    </row>
    <row r="67" spans="1:6" x14ac:dyDescent="0.25">
      <c r="A67" s="2"/>
      <c r="B67" s="2"/>
      <c r="C67" s="2"/>
      <c r="D67" s="2"/>
      <c r="F67" s="12"/>
    </row>
    <row r="68" spans="1:6" x14ac:dyDescent="0.25">
      <c r="A68" s="2"/>
      <c r="B68" s="2"/>
      <c r="C68" s="2"/>
      <c r="D68" s="2"/>
      <c r="F68" s="12"/>
    </row>
    <row r="69" spans="1:6" x14ac:dyDescent="0.25">
      <c r="A69" s="2"/>
      <c r="B69" s="2"/>
      <c r="C69" s="2"/>
      <c r="D69" s="2"/>
      <c r="F69" s="12"/>
    </row>
    <row r="70" spans="1:6" x14ac:dyDescent="0.25">
      <c r="A70" s="2"/>
      <c r="B70" s="2"/>
      <c r="C70" s="2"/>
      <c r="D70" s="2"/>
      <c r="F70" s="12"/>
    </row>
    <row r="71" spans="1:6" x14ac:dyDescent="0.25">
      <c r="A71" s="2"/>
      <c r="B71" s="2"/>
      <c r="C71" s="2"/>
      <c r="D71" s="2"/>
      <c r="F71" s="12"/>
    </row>
    <row r="72" spans="1:6" x14ac:dyDescent="0.25">
      <c r="A72" s="2"/>
      <c r="B72" s="2"/>
      <c r="C72" s="2"/>
      <c r="D72" s="2"/>
      <c r="F72" s="12"/>
    </row>
    <row r="73" spans="1:6" x14ac:dyDescent="0.25">
      <c r="A73" s="2"/>
      <c r="B73" s="2"/>
      <c r="C73" s="2"/>
      <c r="D73" s="2"/>
      <c r="F73" s="12"/>
    </row>
    <row r="74" spans="1:6" x14ac:dyDescent="0.25">
      <c r="A74" s="2"/>
      <c r="B74" s="2"/>
      <c r="C74" s="2"/>
      <c r="D74" s="2"/>
      <c r="F74" s="12"/>
    </row>
    <row r="75" spans="1:6" x14ac:dyDescent="0.25">
      <c r="A75" s="2"/>
      <c r="B75" s="2"/>
      <c r="C75" s="2"/>
      <c r="D75" s="2"/>
      <c r="F75" s="12"/>
    </row>
    <row r="76" spans="1:6" x14ac:dyDescent="0.25">
      <c r="A76" s="2"/>
      <c r="B76" s="2"/>
      <c r="C76" s="2"/>
      <c r="D76" s="2"/>
      <c r="F76" s="12"/>
    </row>
    <row r="77" spans="1:6" x14ac:dyDescent="0.25">
      <c r="A77" s="2"/>
      <c r="B77" s="2"/>
      <c r="C77" s="2"/>
      <c r="D77" s="2"/>
      <c r="F77" s="12"/>
    </row>
    <row r="78" spans="1:6" x14ac:dyDescent="0.25">
      <c r="A78" s="2"/>
      <c r="B78" s="2"/>
      <c r="C78" s="2"/>
      <c r="D78" s="2"/>
      <c r="F78" s="12"/>
    </row>
    <row r="79" spans="1:6" x14ac:dyDescent="0.25">
      <c r="A79" s="2"/>
      <c r="B79" s="2"/>
      <c r="C79" s="2"/>
      <c r="D79" s="2"/>
      <c r="F79" s="12"/>
    </row>
    <row r="80" spans="1:6" x14ac:dyDescent="0.25">
      <c r="A80" s="2"/>
      <c r="B80" s="2"/>
      <c r="C80" s="2"/>
      <c r="D80" s="2"/>
      <c r="F80" s="12"/>
    </row>
    <row r="81" spans="1:6" x14ac:dyDescent="0.25">
      <c r="A81" s="2"/>
      <c r="B81" s="2"/>
      <c r="C81" s="2"/>
      <c r="D81" s="2"/>
      <c r="F81" s="12"/>
    </row>
    <row r="82" spans="1:6" x14ac:dyDescent="0.25">
      <c r="A82" s="2"/>
      <c r="B82" s="2"/>
      <c r="C82" s="2"/>
      <c r="D82" s="2"/>
      <c r="F82" s="12"/>
    </row>
    <row r="83" spans="1:6" x14ac:dyDescent="0.25">
      <c r="A83" s="2"/>
      <c r="B83" s="2"/>
      <c r="C83" s="2"/>
      <c r="D83" s="2"/>
      <c r="F83" s="12"/>
    </row>
    <row r="84" spans="1:6" x14ac:dyDescent="0.25">
      <c r="A84" s="2"/>
      <c r="B84" s="2"/>
      <c r="C84" s="2"/>
      <c r="D84" s="2"/>
      <c r="F84" s="12"/>
    </row>
    <row r="85" spans="1:6" x14ac:dyDescent="0.25">
      <c r="A85" s="2"/>
      <c r="B85" s="2"/>
      <c r="C85" s="2"/>
      <c r="D85" s="2"/>
      <c r="F85" s="12"/>
    </row>
    <row r="86" spans="1:6" x14ac:dyDescent="0.25">
      <c r="A86" s="2"/>
      <c r="B86" s="2"/>
      <c r="C86" s="2"/>
      <c r="D86" s="2"/>
      <c r="F86" s="12"/>
    </row>
    <row r="87" spans="1:6" x14ac:dyDescent="0.25">
      <c r="A87" s="2"/>
      <c r="B87" s="2"/>
      <c r="C87" s="2"/>
      <c r="D87" s="2"/>
      <c r="F87" s="12"/>
    </row>
    <row r="88" spans="1:6" x14ac:dyDescent="0.25">
      <c r="A88" s="2"/>
      <c r="B88" s="2"/>
      <c r="C88" s="2"/>
      <c r="D88" s="2"/>
      <c r="F88" s="12"/>
    </row>
    <row r="89" spans="1:6" x14ac:dyDescent="0.25">
      <c r="A89" s="2"/>
      <c r="B89" s="2"/>
      <c r="C89" s="2"/>
      <c r="D89" s="2"/>
      <c r="F89" s="12"/>
    </row>
    <row r="90" spans="1:6" x14ac:dyDescent="0.25">
      <c r="A90" s="2"/>
      <c r="B90" s="2"/>
      <c r="C90" s="2"/>
      <c r="D90" s="2"/>
      <c r="F90" s="12"/>
    </row>
    <row r="91" spans="1:6" x14ac:dyDescent="0.25">
      <c r="A91" s="2"/>
      <c r="B91" s="2"/>
      <c r="C91" s="2"/>
      <c r="D91" s="2"/>
      <c r="F91" s="12"/>
    </row>
    <row r="92" spans="1:6" x14ac:dyDescent="0.25">
      <c r="A92" s="2"/>
      <c r="B92" s="2"/>
      <c r="C92" s="2"/>
      <c r="D92" s="2"/>
      <c r="F92" s="12"/>
    </row>
    <row r="93" spans="1:6" x14ac:dyDescent="0.25">
      <c r="A93" s="2"/>
      <c r="B93" s="2"/>
      <c r="C93" s="2"/>
      <c r="D93" s="2"/>
      <c r="F93" s="12"/>
    </row>
    <row r="94" spans="1:6" x14ac:dyDescent="0.25">
      <c r="A94" s="2"/>
      <c r="B94" s="2"/>
      <c r="C94" s="2"/>
      <c r="D94" s="2"/>
      <c r="F94" s="12"/>
    </row>
    <row r="95" spans="1:6" x14ac:dyDescent="0.25">
      <c r="A95" s="2"/>
      <c r="B95" s="2"/>
      <c r="C95" s="2"/>
      <c r="D95" s="2"/>
      <c r="F95" s="12"/>
    </row>
    <row r="96" spans="1:6" x14ac:dyDescent="0.25">
      <c r="A96" s="2"/>
      <c r="B96" s="2"/>
      <c r="C96" s="2"/>
      <c r="D96" s="2"/>
      <c r="F96" s="12"/>
    </row>
    <row r="97" spans="1:6" x14ac:dyDescent="0.25">
      <c r="A97" s="2"/>
      <c r="B97" s="2"/>
      <c r="C97" s="2"/>
      <c r="D97" s="2"/>
      <c r="F97" s="12"/>
    </row>
    <row r="98" spans="1:6" x14ac:dyDescent="0.25">
      <c r="A98" s="2"/>
      <c r="B98" s="2"/>
      <c r="C98" s="2"/>
      <c r="D98" s="2"/>
      <c r="F98" s="12"/>
    </row>
    <row r="99" spans="1:6" x14ac:dyDescent="0.25">
      <c r="A99" s="2"/>
      <c r="B99" s="2"/>
      <c r="C99" s="2"/>
      <c r="D99" s="2"/>
      <c r="F99" s="12"/>
    </row>
    <row r="100" spans="1:6" x14ac:dyDescent="0.25">
      <c r="A100" s="2"/>
      <c r="B100" s="2"/>
      <c r="C100" s="2"/>
      <c r="D100" s="2"/>
      <c r="F100" s="12"/>
    </row>
    <row r="101" spans="1:6" x14ac:dyDescent="0.25">
      <c r="A101" s="2"/>
      <c r="B101" s="2"/>
      <c r="C101" s="2"/>
      <c r="D101" s="2"/>
      <c r="F101" s="12"/>
    </row>
    <row r="102" spans="1:6" x14ac:dyDescent="0.25">
      <c r="A102" s="2"/>
      <c r="B102" s="2"/>
      <c r="C102" s="2"/>
      <c r="D102" s="2"/>
      <c r="F102" s="12"/>
    </row>
    <row r="103" spans="1:6" x14ac:dyDescent="0.25">
      <c r="A103" s="2"/>
      <c r="B103" s="2"/>
      <c r="C103" s="2"/>
      <c r="D103" s="2"/>
      <c r="F103" s="12"/>
    </row>
    <row r="104" spans="1:6" x14ac:dyDescent="0.25">
      <c r="A104" s="2"/>
      <c r="B104" s="2"/>
      <c r="C104" s="2"/>
      <c r="D104" s="2"/>
      <c r="F104" s="12"/>
    </row>
    <row r="105" spans="1:6" x14ac:dyDescent="0.25">
      <c r="A105" s="2"/>
      <c r="B105" s="2"/>
      <c r="C105" s="2"/>
      <c r="D105" s="2"/>
      <c r="F105" s="12"/>
    </row>
    <row r="106" spans="1:6" x14ac:dyDescent="0.25">
      <c r="A106" s="2"/>
      <c r="B106" s="2"/>
      <c r="C106" s="2"/>
      <c r="D106" s="2"/>
      <c r="F106" s="12"/>
    </row>
    <row r="107" spans="1:6" x14ac:dyDescent="0.25">
      <c r="A107" s="2"/>
      <c r="B107" s="2"/>
      <c r="C107" s="2"/>
      <c r="D107" s="2"/>
      <c r="F107" s="12"/>
    </row>
    <row r="108" spans="1:6" x14ac:dyDescent="0.25">
      <c r="A108" s="2"/>
      <c r="B108" s="2"/>
      <c r="C108" s="2"/>
      <c r="D108" s="2"/>
      <c r="F108" s="12"/>
    </row>
    <row r="109" spans="1:6" x14ac:dyDescent="0.25">
      <c r="A109" s="2"/>
      <c r="B109" s="2"/>
      <c r="C109" s="2"/>
      <c r="D109" s="2"/>
      <c r="F109" s="12"/>
    </row>
    <row r="110" spans="1:6" x14ac:dyDescent="0.25">
      <c r="A110" s="2"/>
      <c r="B110" s="2"/>
      <c r="C110" s="2"/>
      <c r="D110" s="2"/>
      <c r="F110" s="12"/>
    </row>
    <row r="111" spans="1:6" x14ac:dyDescent="0.25">
      <c r="A111" s="2"/>
      <c r="B111" s="2"/>
      <c r="C111" s="2"/>
      <c r="D111" s="2"/>
      <c r="F111" s="12"/>
    </row>
    <row r="112" spans="1:6" x14ac:dyDescent="0.25">
      <c r="A112" s="2"/>
      <c r="B112" s="2"/>
      <c r="C112" s="2"/>
      <c r="D112" s="2"/>
      <c r="F112" s="12"/>
    </row>
    <row r="113" spans="1:6" x14ac:dyDescent="0.25">
      <c r="A113" s="2"/>
      <c r="B113" s="2"/>
      <c r="C113" s="2"/>
      <c r="D113" s="2"/>
      <c r="F113" s="12"/>
    </row>
    <row r="114" spans="1:6" x14ac:dyDescent="0.25">
      <c r="A114" s="2"/>
      <c r="B114" s="2"/>
      <c r="C114" s="2"/>
      <c r="D114" s="2"/>
      <c r="F114" s="12"/>
    </row>
    <row r="115" spans="1:6" x14ac:dyDescent="0.25">
      <c r="A115" s="2"/>
      <c r="B115" s="2"/>
      <c r="C115" s="2"/>
      <c r="D115" s="2"/>
      <c r="F115" s="12"/>
    </row>
    <row r="116" spans="1:6" x14ac:dyDescent="0.25">
      <c r="A116" s="2"/>
      <c r="B116" s="2"/>
      <c r="C116" s="2"/>
      <c r="D116" s="2"/>
      <c r="F116" s="12"/>
    </row>
    <row r="117" spans="1:6" x14ac:dyDescent="0.25">
      <c r="A117" s="2"/>
      <c r="B117" s="2"/>
      <c r="C117" s="2"/>
      <c r="D117" s="2"/>
      <c r="F117" s="12"/>
    </row>
    <row r="118" spans="1:6" x14ac:dyDescent="0.25">
      <c r="A118" s="2"/>
      <c r="B118" s="2"/>
      <c r="C118" s="2"/>
      <c r="D118" s="2"/>
      <c r="F118" s="12"/>
    </row>
    <row r="119" spans="1:6" x14ac:dyDescent="0.25">
      <c r="A119" s="2"/>
      <c r="B119" s="2"/>
      <c r="C119" s="2"/>
      <c r="D119" s="2"/>
      <c r="F119" s="12"/>
    </row>
    <row r="120" spans="1:6" x14ac:dyDescent="0.25">
      <c r="A120" s="2"/>
      <c r="B120" s="2"/>
      <c r="C120" s="2"/>
      <c r="D120" s="2"/>
      <c r="F120" s="12"/>
    </row>
    <row r="121" spans="1:6" x14ac:dyDescent="0.25">
      <c r="A121" s="2"/>
      <c r="B121" s="2"/>
      <c r="C121" s="2"/>
      <c r="D121" s="2"/>
      <c r="F121" s="12"/>
    </row>
    <row r="122" spans="1:6" x14ac:dyDescent="0.25">
      <c r="A122" s="2"/>
      <c r="B122" s="2"/>
      <c r="C122" s="2"/>
      <c r="D122" s="2"/>
      <c r="F122" s="12"/>
    </row>
    <row r="123" spans="1:6" x14ac:dyDescent="0.25">
      <c r="A123" s="2"/>
      <c r="B123" s="2"/>
      <c r="C123" s="2"/>
      <c r="D123" s="2"/>
      <c r="F123" s="12"/>
    </row>
    <row r="124" spans="1:6" x14ac:dyDescent="0.25">
      <c r="A124" s="2"/>
      <c r="B124" s="2"/>
      <c r="C124" s="2"/>
      <c r="D124" s="2"/>
      <c r="F124" s="12"/>
    </row>
    <row r="125" spans="1:6" x14ac:dyDescent="0.25">
      <c r="A125" s="2"/>
      <c r="B125" s="2"/>
      <c r="C125" s="2"/>
      <c r="D125" s="2"/>
      <c r="F125" s="12"/>
    </row>
    <row r="126" spans="1:6" x14ac:dyDescent="0.25">
      <c r="A126" s="2"/>
      <c r="B126" s="2"/>
      <c r="C126" s="2"/>
      <c r="D126" s="2"/>
      <c r="F126" s="12"/>
    </row>
    <row r="127" spans="1:6" x14ac:dyDescent="0.25">
      <c r="A127" s="2"/>
      <c r="B127" s="2"/>
      <c r="C127" s="2"/>
      <c r="D127" s="2"/>
      <c r="F127" s="12"/>
    </row>
    <row r="128" spans="1:6" x14ac:dyDescent="0.25">
      <c r="A128" s="2"/>
      <c r="B128" s="2"/>
      <c r="C128" s="2"/>
      <c r="D128" s="2"/>
      <c r="F128" s="12"/>
    </row>
    <row r="129" spans="1:6" x14ac:dyDescent="0.25">
      <c r="A129" s="2"/>
      <c r="B129" s="2"/>
      <c r="C129" s="2"/>
      <c r="D129" s="2"/>
      <c r="F129" s="12"/>
    </row>
    <row r="130" spans="1:6" x14ac:dyDescent="0.25">
      <c r="A130" s="2"/>
      <c r="B130" s="2"/>
      <c r="C130" s="2"/>
      <c r="D130" s="2"/>
      <c r="F130" s="12"/>
    </row>
    <row r="131" spans="1:6" x14ac:dyDescent="0.25">
      <c r="A131" s="2"/>
      <c r="B131" s="2"/>
      <c r="C131" s="2"/>
      <c r="D131" s="2"/>
      <c r="F131" s="12"/>
    </row>
    <row r="132" spans="1:6" x14ac:dyDescent="0.25">
      <c r="A132" s="2"/>
      <c r="B132" s="2"/>
      <c r="C132" s="2"/>
      <c r="D132" s="2"/>
      <c r="F132" s="12"/>
    </row>
    <row r="133" spans="1:6" x14ac:dyDescent="0.25">
      <c r="A133" s="2"/>
      <c r="B133" s="2"/>
      <c r="C133" s="2"/>
      <c r="D133" s="2"/>
      <c r="F133" s="12"/>
    </row>
    <row r="134" spans="1:6" x14ac:dyDescent="0.25">
      <c r="A134" s="2"/>
      <c r="B134" s="2"/>
      <c r="C134" s="2"/>
      <c r="D134" s="2"/>
      <c r="F134" s="12"/>
    </row>
    <row r="135" spans="1:6" x14ac:dyDescent="0.25">
      <c r="A135" s="2"/>
      <c r="B135" s="2"/>
      <c r="C135" s="2"/>
      <c r="D135" s="2"/>
      <c r="F135" s="12"/>
    </row>
    <row r="136" spans="1:6" x14ac:dyDescent="0.25">
      <c r="A136" s="2"/>
      <c r="B136" s="2"/>
      <c r="C136" s="2"/>
      <c r="D136" s="2"/>
      <c r="F136" s="12"/>
    </row>
    <row r="137" spans="1:6" x14ac:dyDescent="0.25">
      <c r="A137" s="2"/>
      <c r="B137" s="2"/>
      <c r="C137" s="2"/>
      <c r="D137" s="2"/>
      <c r="F137" s="12"/>
    </row>
    <row r="138" spans="1:6" x14ac:dyDescent="0.25">
      <c r="A138" s="2"/>
      <c r="B138" s="2"/>
      <c r="C138" s="2"/>
      <c r="D138" s="2"/>
      <c r="F138" s="12"/>
    </row>
    <row r="139" spans="1:6" x14ac:dyDescent="0.25">
      <c r="A139" s="2"/>
      <c r="B139" s="2"/>
      <c r="C139" s="2"/>
      <c r="D139" s="2"/>
      <c r="F139" s="12"/>
    </row>
    <row r="140" spans="1:6" x14ac:dyDescent="0.25">
      <c r="A140" s="2"/>
      <c r="B140" s="2"/>
      <c r="C140" s="2"/>
      <c r="D140" s="2"/>
      <c r="F140" s="12"/>
    </row>
    <row r="141" spans="1:6" x14ac:dyDescent="0.25">
      <c r="A141" s="2"/>
      <c r="B141" s="2"/>
      <c r="C141" s="2"/>
      <c r="D141" s="2"/>
      <c r="F141" s="12"/>
    </row>
    <row r="142" spans="1:6" x14ac:dyDescent="0.25">
      <c r="A142" s="2"/>
      <c r="B142" s="2"/>
      <c r="C142" s="2"/>
      <c r="D142" s="2"/>
      <c r="F142" s="12"/>
    </row>
    <row r="143" spans="1:6" x14ac:dyDescent="0.25">
      <c r="A143" s="2"/>
      <c r="B143" s="2"/>
      <c r="C143" s="2"/>
      <c r="D143" s="2"/>
      <c r="F143" s="12"/>
    </row>
    <row r="144" spans="1:6" x14ac:dyDescent="0.25">
      <c r="A144" s="2"/>
      <c r="B144" s="2"/>
      <c r="C144" s="2"/>
      <c r="D144" s="2"/>
      <c r="F144" s="12"/>
    </row>
    <row r="145" spans="1:6" x14ac:dyDescent="0.25">
      <c r="A145" s="2"/>
      <c r="B145" s="2"/>
      <c r="C145" s="2"/>
      <c r="D145" s="2"/>
      <c r="F145" s="12"/>
    </row>
    <row r="146" spans="1:6" x14ac:dyDescent="0.25">
      <c r="A146" s="2"/>
      <c r="B146" s="2"/>
      <c r="C146" s="2"/>
      <c r="D146" s="2"/>
      <c r="F146" s="12"/>
    </row>
    <row r="147" spans="1:6" x14ac:dyDescent="0.25">
      <c r="A147" s="2"/>
      <c r="B147" s="2"/>
      <c r="C147" s="2"/>
      <c r="D147" s="2"/>
      <c r="F147" s="12"/>
    </row>
    <row r="148" spans="1:6" x14ac:dyDescent="0.25">
      <c r="A148" s="2"/>
      <c r="B148" s="2"/>
      <c r="C148" s="2"/>
      <c r="D148" s="2"/>
      <c r="F148" s="12"/>
    </row>
    <row r="149" spans="1:6" x14ac:dyDescent="0.25">
      <c r="A149" s="2"/>
      <c r="B149" s="2"/>
      <c r="C149" s="2"/>
      <c r="D149" s="2"/>
      <c r="F149" s="12"/>
    </row>
    <row r="150" spans="1:6" x14ac:dyDescent="0.25">
      <c r="A150" s="2"/>
      <c r="B150" s="2"/>
      <c r="C150" s="2"/>
      <c r="D150" s="2"/>
      <c r="F150" s="12"/>
    </row>
    <row r="151" spans="1:6" x14ac:dyDescent="0.25">
      <c r="A151" s="2"/>
      <c r="B151" s="2"/>
      <c r="C151" s="2"/>
      <c r="D151" s="2"/>
      <c r="F151" s="12"/>
    </row>
    <row r="152" spans="1:6" x14ac:dyDescent="0.25">
      <c r="A152" s="2"/>
      <c r="B152" s="2"/>
      <c r="C152" s="2"/>
      <c r="D152" s="2"/>
      <c r="E152" s="3">
        <v>42.8</v>
      </c>
      <c r="F152" s="12">
        <v>3.4027777777777775E-2</v>
      </c>
    </row>
    <row r="153" spans="1:6" x14ac:dyDescent="0.25">
      <c r="A153" s="2"/>
      <c r="B153" s="2"/>
      <c r="C153" s="2"/>
      <c r="D153" s="2"/>
      <c r="F153" s="12"/>
    </row>
    <row r="154" spans="1:6" x14ac:dyDescent="0.25">
      <c r="A154" s="2"/>
      <c r="B154" s="2"/>
      <c r="C154" s="2"/>
      <c r="D154" s="2"/>
      <c r="F154" s="12"/>
    </row>
    <row r="155" spans="1:6" x14ac:dyDescent="0.25">
      <c r="A155" s="2"/>
      <c r="B155" s="2"/>
      <c r="C155" s="2"/>
      <c r="D155" s="2"/>
      <c r="F155" s="12"/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ravelTimes">
                <anchor moveWithCells="1" sizeWithCells="1">
                  <from>
                    <xdr:col>7</xdr:col>
                    <xdr:colOff>9525</xdr:colOff>
                    <xdr:row>0</xdr:row>
                    <xdr:rowOff>171450</xdr:rowOff>
                  </from>
                  <to>
                    <xdr:col>11</xdr:col>
                    <xdr:colOff>295275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10"/>
  <sheetViews>
    <sheetView workbookViewId="0">
      <selection activeCell="J10" sqref="J10"/>
    </sheetView>
  </sheetViews>
  <sheetFormatPr defaultRowHeight="15" x14ac:dyDescent="0.25"/>
  <cols>
    <col min="1" max="1" width="16.140625" customWidth="1"/>
    <col min="2" max="2" width="13.5703125" bestFit="1" customWidth="1"/>
    <col min="3" max="3" width="33.85546875" customWidth="1"/>
    <col min="4" max="4" width="13.7109375" customWidth="1"/>
    <col min="8" max="8" width="18.28515625" bestFit="1" customWidth="1"/>
    <col min="9" max="9" width="12.7109375" customWidth="1"/>
    <col min="10" max="10" width="21.5703125" customWidth="1"/>
    <col min="19" max="19" width="15.85546875" bestFit="1" customWidth="1"/>
    <col min="20" max="20" width="12.7109375" bestFit="1" customWidth="1"/>
  </cols>
  <sheetData>
    <row r="1" spans="1:20" x14ac:dyDescent="0.25">
      <c r="A1" t="s">
        <v>22</v>
      </c>
      <c r="B1" s="19">
        <v>3958.7559999999999</v>
      </c>
      <c r="C1" t="s">
        <v>23</v>
      </c>
      <c r="I1" t="s">
        <v>26</v>
      </c>
      <c r="J1">
        <v>3</v>
      </c>
    </row>
    <row r="2" spans="1:20" x14ac:dyDescent="0.25">
      <c r="A2" s="20" t="s">
        <v>21</v>
      </c>
      <c r="B2" s="20"/>
      <c r="C2" s="20"/>
      <c r="D2" s="20"/>
      <c r="E2" s="20"/>
      <c r="F2" s="20"/>
      <c r="G2" s="20"/>
      <c r="H2" s="20"/>
      <c r="I2" s="20"/>
      <c r="J2" s="20"/>
    </row>
    <row r="3" spans="1:20" ht="39" x14ac:dyDescent="0.25">
      <c r="A3" t="s">
        <v>29</v>
      </c>
      <c r="B3" t="s">
        <v>27</v>
      </c>
      <c r="C3" t="s">
        <v>28</v>
      </c>
      <c r="D3" t="s">
        <v>9</v>
      </c>
      <c r="E3" t="s">
        <v>10</v>
      </c>
      <c r="F3" t="s">
        <v>11</v>
      </c>
      <c r="G3" t="s">
        <v>12</v>
      </c>
      <c r="H3" t="s">
        <v>19</v>
      </c>
      <c r="I3" t="s">
        <v>8</v>
      </c>
      <c r="J3" t="s">
        <v>25</v>
      </c>
      <c r="M3" s="13" t="s">
        <v>13</v>
      </c>
      <c r="N3" s="13" t="s">
        <v>14</v>
      </c>
      <c r="O3" s="13" t="s">
        <v>15</v>
      </c>
      <c r="P3" s="13" t="s">
        <v>16</v>
      </c>
      <c r="Q3" s="13" t="s">
        <v>17</v>
      </c>
      <c r="R3" s="13" t="s">
        <v>18</v>
      </c>
      <c r="S3" s="14" t="s">
        <v>20</v>
      </c>
      <c r="T3" s="14" t="s">
        <v>24</v>
      </c>
    </row>
    <row r="4" spans="1:20" x14ac:dyDescent="0.25">
      <c r="A4" s="18">
        <v>1</v>
      </c>
      <c r="B4" s="18" t="s">
        <v>30</v>
      </c>
      <c r="C4" s="18" t="s">
        <v>31</v>
      </c>
      <c r="D4" s="18">
        <v>29.061059400000001</v>
      </c>
      <c r="E4" s="18">
        <v>-95.446606200000005</v>
      </c>
      <c r="F4" s="18">
        <v>29.123329300000002</v>
      </c>
      <c r="G4" s="18">
        <v>-95.4906948</v>
      </c>
      <c r="H4" s="15">
        <f t="shared" ref="H4" si="0">S4</f>
        <v>5.059319415198674</v>
      </c>
      <c r="I4">
        <f t="shared" ref="I4" si="1">T4</f>
        <v>328.24424855064512</v>
      </c>
      <c r="J4" t="str">
        <f t="shared" ref="J4:J10" si="2">GetBearing(I4,Direction_Precision)</f>
        <v>NNW</v>
      </c>
      <c r="M4" s="16">
        <f>RADIANS(D4)</f>
        <v>0.50721117064764787</v>
      </c>
      <c r="N4" s="16">
        <f>RADIANS(F4)</f>
        <v>0.50829798542753546</v>
      </c>
      <c r="O4" s="17">
        <f>N4-M4</f>
        <v>1.0868147798875905E-3</v>
      </c>
      <c r="P4" s="17">
        <f>RADIANS(E4)</f>
        <v>-1.6658575380444334</v>
      </c>
      <c r="Q4" s="17">
        <f>RADIANS(G4)</f>
        <v>-1.6666270292770282</v>
      </c>
      <c r="R4" s="17">
        <f>Q4-P4</f>
        <v>-7.6949123259484331E-4</v>
      </c>
      <c r="S4" s="15">
        <f t="shared" ref="S4:S10" si="3">Planet_Radius*(2*ATAN2(SQRT(1-((SIN(RADIANS(F4-D4)/2)^2)+COS(RADIANS(D4))*COS(RADIANS(F4))*(SIN(RADIANS(G4-E4)/2)^2))),SQRT(((SIN(RADIANS(F4-D4)/2)^2)+COS(RADIANS(D4))*COS(RADIANS(F4))*(SIN(RADIANS(G4-E4)/2)^2)))))</f>
        <v>5.059319415198674</v>
      </c>
      <c r="T4">
        <f>MOD(DEGREES(ATAN2(COS(N4)*SIN(M4)-SIN(N4)*COS(M4)*COS(-R4),SIN(-R4)*COS(M4)))-180,360)</f>
        <v>328.24424855064512</v>
      </c>
    </row>
    <row r="5" spans="1:20" x14ac:dyDescent="0.25">
      <c r="A5" s="18">
        <v>2</v>
      </c>
      <c r="B5" s="18" t="s">
        <v>32</v>
      </c>
      <c r="C5" s="18" t="s">
        <v>33</v>
      </c>
      <c r="D5" s="18">
        <v>32.905293999999998</v>
      </c>
      <c r="E5" s="18">
        <v>-80.1223332</v>
      </c>
      <c r="F5" s="18">
        <v>33.9685968</v>
      </c>
      <c r="G5" s="18">
        <v>-78.898638599999998</v>
      </c>
      <c r="H5" s="15">
        <f t="shared" ref="H5:H10" si="4">S5</f>
        <v>101.85837813185233</v>
      </c>
      <c r="I5">
        <f t="shared" ref="I5:I10" si="5">T5</f>
        <v>44.180556409318342</v>
      </c>
      <c r="J5" t="str">
        <f t="shared" si="2"/>
        <v>NE</v>
      </c>
      <c r="M5" s="16">
        <f t="shared" ref="M5:M10" si="6">RADIANS(D5)</f>
        <v>0.57430572163673499</v>
      </c>
      <c r="N5" s="16">
        <f t="shared" ref="N5:N10" si="7">RADIANS(F5)</f>
        <v>0.5928638564424098</v>
      </c>
      <c r="O5" s="17">
        <f t="shared" ref="O5:O10" si="8">N5-M5</f>
        <v>1.8558134805674809E-2</v>
      </c>
      <c r="P5" s="17">
        <f t="shared" ref="P5:P10" si="9">RADIANS(E5)</f>
        <v>-1.3983985187199643</v>
      </c>
      <c r="Q5" s="17">
        <f t="shared" ref="Q5:Q10" si="10">RADIANS(G5)</f>
        <v>-1.3770410189110893</v>
      </c>
      <c r="R5" s="17">
        <f t="shared" ref="R5:R10" si="11">Q5-P5</f>
        <v>2.1357499808875025E-2</v>
      </c>
      <c r="S5" s="15">
        <f t="shared" si="3"/>
        <v>101.85837813185233</v>
      </c>
      <c r="T5">
        <f t="shared" ref="T5:T10" si="12">MOD(DEGREES(ATAN2(COS(N5)*SIN(M5)-SIN(N5)*COS(M5)*COS(-R5),SIN(-R5)*COS(M5)))-180,360)</f>
        <v>44.180556409318342</v>
      </c>
    </row>
    <row r="6" spans="1:20" x14ac:dyDescent="0.25">
      <c r="A6" s="18">
        <v>4</v>
      </c>
      <c r="B6" s="18"/>
      <c r="C6" s="18"/>
      <c r="D6" s="18">
        <v>43.527980800000002</v>
      </c>
      <c r="E6" s="18">
        <v>-96.819379999999995</v>
      </c>
      <c r="F6" s="18">
        <v>43.5813311</v>
      </c>
      <c r="G6" s="18">
        <v>-96.476213599999994</v>
      </c>
      <c r="H6" s="15">
        <f t="shared" si="4"/>
        <v>17.574329278973948</v>
      </c>
      <c r="I6">
        <f t="shared" si="5"/>
        <v>78.010792041079242</v>
      </c>
      <c r="J6" t="str">
        <f t="shared" si="2"/>
        <v>ENE</v>
      </c>
      <c r="M6" s="16">
        <f t="shared" si="6"/>
        <v>0.75970658170487537</v>
      </c>
      <c r="N6" s="16">
        <f t="shared" si="7"/>
        <v>0.76063772009680208</v>
      </c>
      <c r="O6" s="17">
        <f t="shared" si="8"/>
        <v>9.3113839192671133E-4</v>
      </c>
      <c r="P6" s="17">
        <f t="shared" si="9"/>
        <v>-1.6898169607395475</v>
      </c>
      <c r="Q6" s="17">
        <f t="shared" si="10"/>
        <v>-1.6838275771773314</v>
      </c>
      <c r="R6" s="17">
        <f t="shared" si="11"/>
        <v>5.9893835622160108E-3</v>
      </c>
      <c r="S6" s="15">
        <f t="shared" si="3"/>
        <v>17.574329278973948</v>
      </c>
      <c r="T6">
        <f t="shared" si="12"/>
        <v>78.010792041079242</v>
      </c>
    </row>
    <row r="7" spans="1:20" x14ac:dyDescent="0.25">
      <c r="A7" s="18">
        <v>5</v>
      </c>
      <c r="B7" s="18"/>
      <c r="C7" s="18"/>
      <c r="D7" s="18">
        <v>44.909846600000002</v>
      </c>
      <c r="E7" s="18">
        <v>-97.219933900000001</v>
      </c>
      <c r="F7" s="18">
        <v>42.9784273</v>
      </c>
      <c r="G7" s="18">
        <v>-109.79726119999999</v>
      </c>
      <c r="H7" s="15">
        <f t="shared" si="4"/>
        <v>639.07103560053156</v>
      </c>
      <c r="I7">
        <f t="shared" si="5"/>
        <v>253.63422585705766</v>
      </c>
      <c r="J7" t="str">
        <f t="shared" si="2"/>
        <v>WSW</v>
      </c>
      <c r="M7" s="16">
        <f t="shared" si="6"/>
        <v>0.78382468973558084</v>
      </c>
      <c r="N7" s="16">
        <f t="shared" si="7"/>
        <v>0.75011506371401671</v>
      </c>
      <c r="O7" s="17">
        <f t="shared" si="8"/>
        <v>-3.3709626021564132E-2</v>
      </c>
      <c r="P7" s="17">
        <f t="shared" si="9"/>
        <v>-1.6968079451262517</v>
      </c>
      <c r="Q7" s="17">
        <f t="shared" si="10"/>
        <v>-1.9163237176122201</v>
      </c>
      <c r="R7" s="17">
        <f t="shared" si="11"/>
        <v>-0.21951577248596843</v>
      </c>
      <c r="S7" s="15">
        <f t="shared" si="3"/>
        <v>639.07103560053156</v>
      </c>
      <c r="T7">
        <f t="shared" si="12"/>
        <v>253.63422585705766</v>
      </c>
    </row>
    <row r="8" spans="1:20" x14ac:dyDescent="0.25">
      <c r="A8" s="18">
        <v>6</v>
      </c>
      <c r="B8" s="18"/>
      <c r="C8" s="18"/>
      <c r="D8" s="18">
        <v>43.5813311</v>
      </c>
      <c r="E8" s="18">
        <v>-96.476213599999994</v>
      </c>
      <c r="F8" s="18">
        <v>43.527980800000002</v>
      </c>
      <c r="G8" s="18">
        <v>-96.819379999999995</v>
      </c>
      <c r="H8" s="15">
        <f t="shared" si="4"/>
        <v>17.574329278973948</v>
      </c>
      <c r="I8">
        <f t="shared" si="5"/>
        <v>257.77433413479207</v>
      </c>
      <c r="J8" t="str">
        <f t="shared" si="2"/>
        <v>WSW</v>
      </c>
      <c r="M8" s="16">
        <f t="shared" si="6"/>
        <v>0.76063772009680208</v>
      </c>
      <c r="N8" s="16">
        <f t="shared" si="7"/>
        <v>0.75970658170487537</v>
      </c>
      <c r="O8" s="17">
        <f t="shared" si="8"/>
        <v>-9.3113839192671133E-4</v>
      </c>
      <c r="P8" s="17">
        <f t="shared" si="9"/>
        <v>-1.6838275771773314</v>
      </c>
      <c r="Q8" s="17">
        <f t="shared" si="10"/>
        <v>-1.6898169607395475</v>
      </c>
      <c r="R8" s="17">
        <f t="shared" si="11"/>
        <v>-5.9893835622160108E-3</v>
      </c>
      <c r="S8" s="15">
        <f t="shared" si="3"/>
        <v>17.574329278973948</v>
      </c>
      <c r="T8">
        <f t="shared" si="12"/>
        <v>257.77433413479207</v>
      </c>
    </row>
    <row r="9" spans="1:20" x14ac:dyDescent="0.25">
      <c r="A9" s="18">
        <v>7</v>
      </c>
      <c r="B9" s="18"/>
      <c r="C9" s="18"/>
      <c r="D9" s="18">
        <v>42.9784273</v>
      </c>
      <c r="E9" s="18">
        <v>-109.79726119999999</v>
      </c>
      <c r="F9" s="18">
        <v>44.909846600000002</v>
      </c>
      <c r="G9" s="18">
        <v>-97.219933900000001</v>
      </c>
      <c r="H9" s="15">
        <f t="shared" si="4"/>
        <v>639.07103560053156</v>
      </c>
      <c r="I9">
        <f t="shared" si="5"/>
        <v>82.381778253589232</v>
      </c>
      <c r="J9" t="str">
        <f t="shared" si="2"/>
        <v>E</v>
      </c>
      <c r="M9" s="16">
        <f t="shared" si="6"/>
        <v>0.75011506371401671</v>
      </c>
      <c r="N9" s="16">
        <f t="shared" si="7"/>
        <v>0.78382468973558084</v>
      </c>
      <c r="O9" s="17">
        <f t="shared" si="8"/>
        <v>3.3709626021564132E-2</v>
      </c>
      <c r="P9" s="17">
        <f t="shared" si="9"/>
        <v>-1.9163237176122201</v>
      </c>
      <c r="Q9" s="17">
        <f t="shared" si="10"/>
        <v>-1.6968079451262517</v>
      </c>
      <c r="R9" s="17">
        <f t="shared" si="11"/>
        <v>0.21951577248596843</v>
      </c>
      <c r="S9" s="15">
        <f t="shared" si="3"/>
        <v>639.07103560053156</v>
      </c>
      <c r="T9">
        <f t="shared" si="12"/>
        <v>82.381778253589232</v>
      </c>
    </row>
    <row r="10" spans="1:20" x14ac:dyDescent="0.25">
      <c r="A10" s="18">
        <v>8</v>
      </c>
      <c r="B10" s="18"/>
      <c r="C10" s="18"/>
      <c r="D10" s="18">
        <v>29.801053599999999</v>
      </c>
      <c r="E10" s="18">
        <v>-95.002072999999996</v>
      </c>
      <c r="F10" s="18">
        <v>29.818648100000001</v>
      </c>
      <c r="G10" s="18">
        <v>-94.899262800000002</v>
      </c>
      <c r="H10" s="15">
        <f t="shared" si="4"/>
        <v>6.2823045297489202</v>
      </c>
      <c r="I10">
        <f t="shared" si="5"/>
        <v>78.868106714165606</v>
      </c>
      <c r="J10" t="str">
        <f t="shared" si="2"/>
        <v>E</v>
      </c>
      <c r="M10" s="16">
        <f t="shared" si="6"/>
        <v>0.52012650588330922</v>
      </c>
      <c r="N10" s="16">
        <f t="shared" si="7"/>
        <v>0.52043358783855143</v>
      </c>
      <c r="O10" s="17">
        <f t="shared" si="8"/>
        <v>3.070819552422055E-4</v>
      </c>
      <c r="P10" s="17">
        <f t="shared" si="9"/>
        <v>-1.6580989700700068</v>
      </c>
      <c r="Q10" s="17">
        <f t="shared" si="10"/>
        <v>-1.6563045935753731</v>
      </c>
      <c r="R10" s="17">
        <f t="shared" si="11"/>
        <v>1.7943764946337648E-3</v>
      </c>
      <c r="S10" s="15">
        <f t="shared" si="3"/>
        <v>6.2823045297489202</v>
      </c>
      <c r="T10">
        <f t="shared" si="12"/>
        <v>78.868106714165606</v>
      </c>
    </row>
  </sheetData>
  <mergeCells count="1">
    <mergeCell ref="A2:J2"/>
  </mergeCells>
  <dataValidations count="1">
    <dataValidation type="list" allowBlank="1" showInputMessage="1" showErrorMessage="1" sqref="J1">
      <formula1>"1,2,3"</formula1>
    </dataValidation>
  </dataValidations>
  <pageMargins left="0.7" right="0.7" top="0.75" bottom="0.75" header="0.3" footer="0.3"/>
  <pageSetup orientation="portrait"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GoogleDistance</vt:lpstr>
      <vt:lpstr>Straight Distance and Bearing</vt:lpstr>
      <vt:lpstr>Direction_Precision</vt:lpstr>
      <vt:lpstr>Planet_Radius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Ball;Desmond Oshiwambo</dc:creator>
  <cp:lastModifiedBy>Ralph Avery</cp:lastModifiedBy>
  <dcterms:created xsi:type="dcterms:W3CDTF">2014-04-16T00:15:27Z</dcterms:created>
  <dcterms:modified xsi:type="dcterms:W3CDTF">2016-11-18T19:23:03Z</dcterms:modified>
</cp:coreProperties>
</file>