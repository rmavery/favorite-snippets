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s\rma_singles\xls\"/>
    </mc:Choice>
  </mc:AlternateContent>
  <bookViews>
    <workbookView xWindow="0" yWindow="0" windowWidth="25200" windowHeight="11850" activeTab="2"/>
  </bookViews>
  <sheets>
    <sheet name="GoogleDistance" sheetId="2" r:id="rId1"/>
    <sheet name="Bearing1" sheetId="3" state="hidden" r:id="rId2"/>
    <sheet name="Bearing2" sheetId="4" r:id="rId3"/>
  </sheets>
  <functionGroups builtInGroupCount="18"/>
  <definedNames>
    <definedName name="Direction_Precision">Bearing2!$J$1</definedName>
    <definedName name="Planet_Radius">Bearing2!$B$1</definedName>
    <definedName name="PRECISION">Bearing1!$R$1</definedName>
  </definedNames>
  <calcPr calcId="162913"/>
</workbook>
</file>

<file path=xl/calcChain.xml><?xml version="1.0" encoding="utf-8"?>
<calcChain xmlns="http://schemas.openxmlformats.org/spreadsheetml/2006/main">
  <c r="P5" i="4" l="1"/>
  <c r="Q5" i="4"/>
  <c r="P6" i="4"/>
  <c r="Q6" i="4"/>
  <c r="P7" i="4"/>
  <c r="Q7" i="4"/>
  <c r="P8" i="4"/>
  <c r="Q8" i="4"/>
  <c r="P9" i="4"/>
  <c r="Q9" i="4"/>
  <c r="P10" i="4"/>
  <c r="Q10" i="4"/>
  <c r="P11" i="4"/>
  <c r="Q11" i="4"/>
  <c r="P12" i="4"/>
  <c r="Q12" i="4"/>
  <c r="P13" i="4"/>
  <c r="Q13" i="4"/>
  <c r="P14" i="4"/>
  <c r="Q14" i="4"/>
  <c r="P15" i="4"/>
  <c r="Q15" i="4"/>
  <c r="P16" i="4"/>
  <c r="Q16" i="4"/>
  <c r="P17" i="4"/>
  <c r="Q17" i="4"/>
  <c r="P18" i="4"/>
  <c r="Q18" i="4"/>
  <c r="P19" i="4"/>
  <c r="Q19" i="4"/>
  <c r="R19" i="4" s="1"/>
  <c r="P20" i="4"/>
  <c r="Q20" i="4"/>
  <c r="P21" i="4"/>
  <c r="Q21" i="4"/>
  <c r="P22" i="4"/>
  <c r="Q22" i="4"/>
  <c r="P23" i="4"/>
  <c r="Q23" i="4"/>
  <c r="P24" i="4"/>
  <c r="Q24" i="4"/>
  <c r="P25" i="4"/>
  <c r="Q25" i="4"/>
  <c r="P26" i="4"/>
  <c r="Q26" i="4"/>
  <c r="P27" i="4"/>
  <c r="Q27" i="4"/>
  <c r="P28" i="4"/>
  <c r="Q28" i="4"/>
  <c r="P29" i="4"/>
  <c r="Q29" i="4"/>
  <c r="P30" i="4"/>
  <c r="Q30" i="4"/>
  <c r="P31" i="4"/>
  <c r="Q31" i="4"/>
  <c r="P32" i="4"/>
  <c r="Q32" i="4"/>
  <c r="P33" i="4"/>
  <c r="Q33" i="4"/>
  <c r="P34" i="4"/>
  <c r="Q34" i="4"/>
  <c r="P35" i="4"/>
  <c r="Q35" i="4"/>
  <c r="P36" i="4"/>
  <c r="Q36" i="4"/>
  <c r="P37" i="4"/>
  <c r="Q37" i="4"/>
  <c r="P38" i="4"/>
  <c r="Q38" i="4"/>
  <c r="P39" i="4"/>
  <c r="Q39" i="4"/>
  <c r="P40" i="4"/>
  <c r="Q40" i="4"/>
  <c r="P41" i="4"/>
  <c r="Q41" i="4"/>
  <c r="P42" i="4"/>
  <c r="Q42" i="4"/>
  <c r="P43" i="4"/>
  <c r="Q43" i="4"/>
  <c r="P44" i="4"/>
  <c r="Q44" i="4"/>
  <c r="P45" i="4"/>
  <c r="Q45" i="4"/>
  <c r="P46" i="4"/>
  <c r="Q46" i="4"/>
  <c r="P47" i="4"/>
  <c r="Q47" i="4"/>
  <c r="P48" i="4"/>
  <c r="Q48" i="4"/>
  <c r="P49" i="4"/>
  <c r="Q49" i="4"/>
  <c r="P50" i="4"/>
  <c r="Q50" i="4"/>
  <c r="P51" i="4"/>
  <c r="Q51" i="4"/>
  <c r="P52" i="4"/>
  <c r="Q52" i="4"/>
  <c r="P53" i="4"/>
  <c r="Q53" i="4"/>
  <c r="P54" i="4"/>
  <c r="Q54" i="4"/>
  <c r="P55" i="4"/>
  <c r="Q55" i="4"/>
  <c r="P56" i="4"/>
  <c r="Q56" i="4"/>
  <c r="P57" i="4"/>
  <c r="Q57" i="4"/>
  <c r="P58" i="4"/>
  <c r="Q58" i="4"/>
  <c r="P59" i="4"/>
  <c r="Q59" i="4"/>
  <c r="P60" i="4"/>
  <c r="Q60" i="4"/>
  <c r="P61" i="4"/>
  <c r="Q61" i="4"/>
  <c r="P62" i="4"/>
  <c r="Q62" i="4"/>
  <c r="P63" i="4"/>
  <c r="Q63" i="4"/>
  <c r="P64" i="4"/>
  <c r="Q64" i="4"/>
  <c r="P65" i="4"/>
  <c r="Q65" i="4"/>
  <c r="P66" i="4"/>
  <c r="Q66" i="4"/>
  <c r="P67" i="4"/>
  <c r="Q67" i="4"/>
  <c r="P68" i="4"/>
  <c r="Q68" i="4"/>
  <c r="P69" i="4"/>
  <c r="Q69" i="4"/>
  <c r="P70" i="4"/>
  <c r="Q70" i="4"/>
  <c r="P71" i="4"/>
  <c r="Q71" i="4"/>
  <c r="P72" i="4"/>
  <c r="Q72" i="4"/>
  <c r="P73" i="4"/>
  <c r="Q73" i="4"/>
  <c r="P74" i="4"/>
  <c r="Q74" i="4"/>
  <c r="P75" i="4"/>
  <c r="Q75" i="4"/>
  <c r="P76" i="4"/>
  <c r="Q76" i="4"/>
  <c r="P77" i="4"/>
  <c r="Q77" i="4"/>
  <c r="P78" i="4"/>
  <c r="Q78" i="4"/>
  <c r="P79" i="4"/>
  <c r="Q79" i="4"/>
  <c r="P80" i="4"/>
  <c r="Q80" i="4"/>
  <c r="P81" i="4"/>
  <c r="Q81" i="4"/>
  <c r="P82" i="4"/>
  <c r="Q82" i="4"/>
  <c r="P83" i="4"/>
  <c r="Q83" i="4"/>
  <c r="P84" i="4"/>
  <c r="Q84" i="4"/>
  <c r="P85" i="4"/>
  <c r="Q85" i="4"/>
  <c r="P86" i="4"/>
  <c r="Q86" i="4"/>
  <c r="P87" i="4"/>
  <c r="Q87" i="4"/>
  <c r="P88" i="4"/>
  <c r="Q88" i="4"/>
  <c r="P89" i="4"/>
  <c r="Q89" i="4"/>
  <c r="P90" i="4"/>
  <c r="Q90" i="4"/>
  <c r="P91" i="4"/>
  <c r="Q91" i="4"/>
  <c r="P92" i="4"/>
  <c r="Q92" i="4"/>
  <c r="P93" i="4"/>
  <c r="Q93" i="4"/>
  <c r="P94" i="4"/>
  <c r="Q94" i="4"/>
  <c r="P95" i="4"/>
  <c r="Q95" i="4"/>
  <c r="P96" i="4"/>
  <c r="Q96" i="4"/>
  <c r="P97" i="4"/>
  <c r="Q97" i="4"/>
  <c r="P98" i="4"/>
  <c r="Q98" i="4"/>
  <c r="P99" i="4"/>
  <c r="Q99" i="4"/>
  <c r="P100" i="4"/>
  <c r="Q100" i="4"/>
  <c r="P101" i="4"/>
  <c r="Q101" i="4"/>
  <c r="P102" i="4"/>
  <c r="Q102" i="4"/>
  <c r="P103" i="4"/>
  <c r="Q103" i="4"/>
  <c r="P104" i="4"/>
  <c r="Q104" i="4"/>
  <c r="P105" i="4"/>
  <c r="Q105" i="4"/>
  <c r="P106" i="4"/>
  <c r="Q106" i="4"/>
  <c r="P107" i="4"/>
  <c r="Q107" i="4"/>
  <c r="R107" i="4" s="1"/>
  <c r="P108" i="4"/>
  <c r="Q108" i="4"/>
  <c r="P109" i="4"/>
  <c r="Q109" i="4"/>
  <c r="P110" i="4"/>
  <c r="Q110" i="4"/>
  <c r="P111" i="4"/>
  <c r="Q111" i="4"/>
  <c r="P112" i="4"/>
  <c r="Q112" i="4"/>
  <c r="P113" i="4"/>
  <c r="Q113" i="4"/>
  <c r="P114" i="4"/>
  <c r="Q114" i="4"/>
  <c r="P115" i="4"/>
  <c r="Q115" i="4"/>
  <c r="R115" i="4" s="1"/>
  <c r="P116" i="4"/>
  <c r="Q116" i="4"/>
  <c r="P117" i="4"/>
  <c r="Q117" i="4"/>
  <c r="P118" i="4"/>
  <c r="Q118" i="4"/>
  <c r="P119" i="4"/>
  <c r="Q119" i="4"/>
  <c r="P120" i="4"/>
  <c r="Q120" i="4"/>
  <c r="P121" i="4"/>
  <c r="Q121" i="4"/>
  <c r="P122" i="4"/>
  <c r="Q122" i="4"/>
  <c r="P123" i="4"/>
  <c r="Q123" i="4"/>
  <c r="P124" i="4"/>
  <c r="Q124" i="4"/>
  <c r="P125" i="4"/>
  <c r="Q125" i="4"/>
  <c r="P126" i="4"/>
  <c r="Q126" i="4"/>
  <c r="P127" i="4"/>
  <c r="Q127" i="4"/>
  <c r="P128" i="4"/>
  <c r="Q128" i="4"/>
  <c r="P129" i="4"/>
  <c r="Q129" i="4"/>
  <c r="P130" i="4"/>
  <c r="Q130" i="4"/>
  <c r="P131" i="4"/>
  <c r="Q131" i="4"/>
  <c r="P132" i="4"/>
  <c r="Q132" i="4"/>
  <c r="P133" i="4"/>
  <c r="Q133" i="4"/>
  <c r="P134" i="4"/>
  <c r="Q134" i="4"/>
  <c r="P135" i="4"/>
  <c r="Q135" i="4"/>
  <c r="P136" i="4"/>
  <c r="Q136" i="4"/>
  <c r="P137" i="4"/>
  <c r="Q137" i="4"/>
  <c r="P138" i="4"/>
  <c r="Q138" i="4"/>
  <c r="P139" i="4"/>
  <c r="Q139" i="4"/>
  <c r="P140" i="4"/>
  <c r="Q140" i="4"/>
  <c r="P141" i="4"/>
  <c r="Q141" i="4"/>
  <c r="P142" i="4"/>
  <c r="Q142" i="4"/>
  <c r="P143" i="4"/>
  <c r="Q143" i="4"/>
  <c r="P144" i="4"/>
  <c r="Q144" i="4"/>
  <c r="P145" i="4"/>
  <c r="Q145" i="4"/>
  <c r="P146" i="4"/>
  <c r="Q146" i="4"/>
  <c r="P147" i="4"/>
  <c r="Q147" i="4"/>
  <c r="P148" i="4"/>
  <c r="Q148" i="4"/>
  <c r="P149" i="4"/>
  <c r="Q149" i="4"/>
  <c r="P150" i="4"/>
  <c r="Q150" i="4"/>
  <c r="P151" i="4"/>
  <c r="Q151" i="4"/>
  <c r="P152" i="4"/>
  <c r="Q152" i="4"/>
  <c r="P153" i="4"/>
  <c r="Q153" i="4"/>
  <c r="Q4" i="4"/>
  <c r="P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M5" i="4"/>
  <c r="M6" i="4"/>
  <c r="M7" i="4"/>
  <c r="M8" i="4"/>
  <c r="M9" i="4"/>
  <c r="M10" i="4"/>
  <c r="M11" i="4"/>
  <c r="M12" i="4"/>
  <c r="O12" i="4" s="1"/>
  <c r="M13" i="4"/>
  <c r="M14" i="4"/>
  <c r="M15" i="4"/>
  <c r="M16" i="4"/>
  <c r="M17" i="4"/>
  <c r="M18" i="4"/>
  <c r="M19" i="4"/>
  <c r="M20" i="4"/>
  <c r="O20" i="4" s="1"/>
  <c r="M21" i="4"/>
  <c r="M22" i="4"/>
  <c r="M23" i="4"/>
  <c r="M24" i="4"/>
  <c r="M25" i="4"/>
  <c r="M26" i="4"/>
  <c r="M27" i="4"/>
  <c r="M28" i="4"/>
  <c r="O28" i="4" s="1"/>
  <c r="M29" i="4"/>
  <c r="M30" i="4"/>
  <c r="M31" i="4"/>
  <c r="M32" i="4"/>
  <c r="M33" i="4"/>
  <c r="M34" i="4"/>
  <c r="M35" i="4"/>
  <c r="M36" i="4"/>
  <c r="O36" i="4" s="1"/>
  <c r="M37" i="4"/>
  <c r="M38" i="4"/>
  <c r="M39" i="4"/>
  <c r="M40" i="4"/>
  <c r="M41" i="4"/>
  <c r="M42" i="4"/>
  <c r="M43" i="4"/>
  <c r="M44" i="4"/>
  <c r="O44" i="4" s="1"/>
  <c r="M45" i="4"/>
  <c r="M46" i="4"/>
  <c r="M47" i="4"/>
  <c r="M48" i="4"/>
  <c r="M49" i="4"/>
  <c r="M50" i="4"/>
  <c r="M51" i="4"/>
  <c r="M52" i="4"/>
  <c r="O52" i="4" s="1"/>
  <c r="M53" i="4"/>
  <c r="M54" i="4"/>
  <c r="M55" i="4"/>
  <c r="M56" i="4"/>
  <c r="M57" i="4"/>
  <c r="M58" i="4"/>
  <c r="M59" i="4"/>
  <c r="M60" i="4"/>
  <c r="O60" i="4" s="1"/>
  <c r="M61" i="4"/>
  <c r="M62" i="4"/>
  <c r="M63" i="4"/>
  <c r="M64" i="4"/>
  <c r="M65" i="4"/>
  <c r="M66" i="4"/>
  <c r="M67" i="4"/>
  <c r="M68" i="4"/>
  <c r="O68" i="4" s="1"/>
  <c r="M69" i="4"/>
  <c r="M70" i="4"/>
  <c r="M71" i="4"/>
  <c r="M72" i="4"/>
  <c r="M73" i="4"/>
  <c r="M74" i="4"/>
  <c r="M75" i="4"/>
  <c r="M76" i="4"/>
  <c r="O76" i="4" s="1"/>
  <c r="M77" i="4"/>
  <c r="M78" i="4"/>
  <c r="M79" i="4"/>
  <c r="M80" i="4"/>
  <c r="M81" i="4"/>
  <c r="M82" i="4"/>
  <c r="M83" i="4"/>
  <c r="M84" i="4"/>
  <c r="O84" i="4" s="1"/>
  <c r="M85" i="4"/>
  <c r="M86" i="4"/>
  <c r="M87" i="4"/>
  <c r="M88" i="4"/>
  <c r="M89" i="4"/>
  <c r="M90" i="4"/>
  <c r="M91" i="4"/>
  <c r="M92" i="4"/>
  <c r="O92" i="4" s="1"/>
  <c r="M93" i="4"/>
  <c r="M94" i="4"/>
  <c r="M95" i="4"/>
  <c r="M96" i="4"/>
  <c r="M97" i="4"/>
  <c r="M98" i="4"/>
  <c r="M99" i="4"/>
  <c r="M100" i="4"/>
  <c r="O100" i="4" s="1"/>
  <c r="M101" i="4"/>
  <c r="M102" i="4"/>
  <c r="M103" i="4"/>
  <c r="M104" i="4"/>
  <c r="M105" i="4"/>
  <c r="M106" i="4"/>
  <c r="M107" i="4"/>
  <c r="M108" i="4"/>
  <c r="O108" i="4" s="1"/>
  <c r="M109" i="4"/>
  <c r="M110" i="4"/>
  <c r="M111" i="4"/>
  <c r="M112" i="4"/>
  <c r="M113" i="4"/>
  <c r="M114" i="4"/>
  <c r="M115" i="4"/>
  <c r="M116" i="4"/>
  <c r="O116" i="4" s="1"/>
  <c r="M117" i="4"/>
  <c r="M118" i="4"/>
  <c r="M119" i="4"/>
  <c r="M120" i="4"/>
  <c r="M121" i="4"/>
  <c r="M122" i="4"/>
  <c r="M123" i="4"/>
  <c r="M124" i="4"/>
  <c r="O124" i="4" s="1"/>
  <c r="M125" i="4"/>
  <c r="M126" i="4"/>
  <c r="M127" i="4"/>
  <c r="M128" i="4"/>
  <c r="M129" i="4"/>
  <c r="M130" i="4"/>
  <c r="M131" i="4"/>
  <c r="M132" i="4"/>
  <c r="O132" i="4" s="1"/>
  <c r="M133" i="4"/>
  <c r="M134" i="4"/>
  <c r="M135" i="4"/>
  <c r="M136" i="4"/>
  <c r="M137" i="4"/>
  <c r="M138" i="4"/>
  <c r="M139" i="4"/>
  <c r="M140" i="4"/>
  <c r="O140" i="4" s="1"/>
  <c r="M141" i="4"/>
  <c r="M142" i="4"/>
  <c r="M143" i="4"/>
  <c r="M144" i="4"/>
  <c r="M145" i="4"/>
  <c r="M146" i="4"/>
  <c r="M147" i="4"/>
  <c r="M148" i="4"/>
  <c r="O148" i="4" s="1"/>
  <c r="M149" i="4"/>
  <c r="M150" i="4"/>
  <c r="M151" i="4"/>
  <c r="M152" i="4"/>
  <c r="M153" i="4"/>
  <c r="N4" i="4"/>
  <c r="M4" i="4"/>
  <c r="S5" i="4"/>
  <c r="H5" i="4" s="1"/>
  <c r="S6" i="4"/>
  <c r="H6" i="4" s="1"/>
  <c r="S7" i="4"/>
  <c r="H7" i="4" s="1"/>
  <c r="S8" i="4"/>
  <c r="H8" i="4" s="1"/>
  <c r="S9" i="4"/>
  <c r="H9" i="4" s="1"/>
  <c r="S10" i="4"/>
  <c r="H10" i="4" s="1"/>
  <c r="S11" i="4"/>
  <c r="H11" i="4" s="1"/>
  <c r="S12" i="4"/>
  <c r="H12" i="4" s="1"/>
  <c r="S13" i="4"/>
  <c r="H13" i="4" s="1"/>
  <c r="S14" i="4"/>
  <c r="H14" i="4" s="1"/>
  <c r="S15" i="4"/>
  <c r="H15" i="4" s="1"/>
  <c r="S16" i="4"/>
  <c r="H16" i="4" s="1"/>
  <c r="S17" i="4"/>
  <c r="H17" i="4" s="1"/>
  <c r="S18" i="4"/>
  <c r="H18" i="4" s="1"/>
  <c r="S19" i="4"/>
  <c r="H19" i="4" s="1"/>
  <c r="S20" i="4"/>
  <c r="H20" i="4" s="1"/>
  <c r="S21" i="4"/>
  <c r="H21" i="4" s="1"/>
  <c r="S22" i="4"/>
  <c r="H22" i="4" s="1"/>
  <c r="S23" i="4"/>
  <c r="H23" i="4" s="1"/>
  <c r="S24" i="4"/>
  <c r="H24" i="4" s="1"/>
  <c r="S25" i="4"/>
  <c r="H25" i="4" s="1"/>
  <c r="S26" i="4"/>
  <c r="H26" i="4" s="1"/>
  <c r="S27" i="4"/>
  <c r="H27" i="4" s="1"/>
  <c r="S28" i="4"/>
  <c r="H28" i="4" s="1"/>
  <c r="S29" i="4"/>
  <c r="H29" i="4" s="1"/>
  <c r="S30" i="4"/>
  <c r="H30" i="4" s="1"/>
  <c r="S31" i="4"/>
  <c r="H31" i="4" s="1"/>
  <c r="S32" i="4"/>
  <c r="H32" i="4" s="1"/>
  <c r="S33" i="4"/>
  <c r="H33" i="4" s="1"/>
  <c r="S34" i="4"/>
  <c r="H34" i="4" s="1"/>
  <c r="S35" i="4"/>
  <c r="H35" i="4" s="1"/>
  <c r="S36" i="4"/>
  <c r="H36" i="4" s="1"/>
  <c r="S37" i="4"/>
  <c r="H37" i="4" s="1"/>
  <c r="S38" i="4"/>
  <c r="H38" i="4" s="1"/>
  <c r="S39" i="4"/>
  <c r="H39" i="4" s="1"/>
  <c r="S40" i="4"/>
  <c r="H40" i="4" s="1"/>
  <c r="S41" i="4"/>
  <c r="H41" i="4" s="1"/>
  <c r="S42" i="4"/>
  <c r="H42" i="4" s="1"/>
  <c r="S43" i="4"/>
  <c r="H43" i="4" s="1"/>
  <c r="S44" i="4"/>
  <c r="H44" i="4" s="1"/>
  <c r="S45" i="4"/>
  <c r="H45" i="4" s="1"/>
  <c r="S46" i="4"/>
  <c r="H46" i="4" s="1"/>
  <c r="S47" i="4"/>
  <c r="H47" i="4" s="1"/>
  <c r="S48" i="4"/>
  <c r="H48" i="4" s="1"/>
  <c r="S49" i="4"/>
  <c r="H49" i="4" s="1"/>
  <c r="S50" i="4"/>
  <c r="H50" i="4" s="1"/>
  <c r="S51" i="4"/>
  <c r="H51" i="4" s="1"/>
  <c r="S52" i="4"/>
  <c r="H52" i="4" s="1"/>
  <c r="S53" i="4"/>
  <c r="H53" i="4" s="1"/>
  <c r="S54" i="4"/>
  <c r="H54" i="4" s="1"/>
  <c r="S55" i="4"/>
  <c r="H55" i="4" s="1"/>
  <c r="S56" i="4"/>
  <c r="H56" i="4" s="1"/>
  <c r="S57" i="4"/>
  <c r="H57" i="4" s="1"/>
  <c r="S58" i="4"/>
  <c r="H58" i="4" s="1"/>
  <c r="S59" i="4"/>
  <c r="H59" i="4" s="1"/>
  <c r="S60" i="4"/>
  <c r="H60" i="4" s="1"/>
  <c r="S61" i="4"/>
  <c r="H61" i="4" s="1"/>
  <c r="S62" i="4"/>
  <c r="H62" i="4" s="1"/>
  <c r="S63" i="4"/>
  <c r="H63" i="4" s="1"/>
  <c r="S64" i="4"/>
  <c r="H64" i="4" s="1"/>
  <c r="S65" i="4"/>
  <c r="H65" i="4" s="1"/>
  <c r="S66" i="4"/>
  <c r="H66" i="4" s="1"/>
  <c r="S67" i="4"/>
  <c r="H67" i="4" s="1"/>
  <c r="S68" i="4"/>
  <c r="H68" i="4" s="1"/>
  <c r="S69" i="4"/>
  <c r="H69" i="4" s="1"/>
  <c r="S70" i="4"/>
  <c r="H70" i="4" s="1"/>
  <c r="S71" i="4"/>
  <c r="H71" i="4" s="1"/>
  <c r="S72" i="4"/>
  <c r="H72" i="4" s="1"/>
  <c r="S73" i="4"/>
  <c r="H73" i="4" s="1"/>
  <c r="S74" i="4"/>
  <c r="H74" i="4" s="1"/>
  <c r="S75" i="4"/>
  <c r="H75" i="4" s="1"/>
  <c r="S76" i="4"/>
  <c r="H76" i="4" s="1"/>
  <c r="S77" i="4"/>
  <c r="H77" i="4" s="1"/>
  <c r="S78" i="4"/>
  <c r="H78" i="4" s="1"/>
  <c r="S79" i="4"/>
  <c r="H79" i="4" s="1"/>
  <c r="S80" i="4"/>
  <c r="H80" i="4" s="1"/>
  <c r="S81" i="4"/>
  <c r="H81" i="4" s="1"/>
  <c r="S82" i="4"/>
  <c r="H82" i="4" s="1"/>
  <c r="S83" i="4"/>
  <c r="H83" i="4" s="1"/>
  <c r="S84" i="4"/>
  <c r="H84" i="4" s="1"/>
  <c r="S85" i="4"/>
  <c r="H85" i="4" s="1"/>
  <c r="S86" i="4"/>
  <c r="H86" i="4" s="1"/>
  <c r="S87" i="4"/>
  <c r="H87" i="4" s="1"/>
  <c r="S88" i="4"/>
  <c r="H88" i="4" s="1"/>
  <c r="S89" i="4"/>
  <c r="H89" i="4" s="1"/>
  <c r="S90" i="4"/>
  <c r="H90" i="4" s="1"/>
  <c r="S91" i="4"/>
  <c r="H91" i="4" s="1"/>
  <c r="S92" i="4"/>
  <c r="H92" i="4" s="1"/>
  <c r="S93" i="4"/>
  <c r="H93" i="4" s="1"/>
  <c r="S94" i="4"/>
  <c r="H94" i="4" s="1"/>
  <c r="S95" i="4"/>
  <c r="H95" i="4" s="1"/>
  <c r="S96" i="4"/>
  <c r="H96" i="4" s="1"/>
  <c r="S97" i="4"/>
  <c r="H97" i="4" s="1"/>
  <c r="S98" i="4"/>
  <c r="H98" i="4" s="1"/>
  <c r="S99" i="4"/>
  <c r="H99" i="4" s="1"/>
  <c r="S100" i="4"/>
  <c r="H100" i="4" s="1"/>
  <c r="R101" i="4"/>
  <c r="S101" i="4"/>
  <c r="H101" i="4" s="1"/>
  <c r="S102" i="4"/>
  <c r="H102" i="4" s="1"/>
  <c r="S103" i="4"/>
  <c r="H103" i="4" s="1"/>
  <c r="S104" i="4"/>
  <c r="H104" i="4" s="1"/>
  <c r="S105" i="4"/>
  <c r="H105" i="4" s="1"/>
  <c r="S106" i="4"/>
  <c r="H106" i="4" s="1"/>
  <c r="S107" i="4"/>
  <c r="H107" i="4" s="1"/>
  <c r="S108" i="4"/>
  <c r="H108" i="4" s="1"/>
  <c r="S109" i="4"/>
  <c r="H109" i="4" s="1"/>
  <c r="S110" i="4"/>
  <c r="H110" i="4" s="1"/>
  <c r="S111" i="4"/>
  <c r="H111" i="4" s="1"/>
  <c r="S112" i="4"/>
  <c r="H112" i="4" s="1"/>
  <c r="S113" i="4"/>
  <c r="H113" i="4" s="1"/>
  <c r="S114" i="4"/>
  <c r="H114" i="4" s="1"/>
  <c r="S115" i="4"/>
  <c r="H115" i="4" s="1"/>
  <c r="S116" i="4"/>
  <c r="H116" i="4" s="1"/>
  <c r="S117" i="4"/>
  <c r="H117" i="4" s="1"/>
  <c r="S118" i="4"/>
  <c r="H118" i="4" s="1"/>
  <c r="S119" i="4"/>
  <c r="H119" i="4" s="1"/>
  <c r="S120" i="4"/>
  <c r="H120" i="4" s="1"/>
  <c r="S121" i="4"/>
  <c r="H121" i="4" s="1"/>
  <c r="S122" i="4"/>
  <c r="H122" i="4" s="1"/>
  <c r="S123" i="4"/>
  <c r="H123" i="4" s="1"/>
  <c r="S124" i="4"/>
  <c r="H124" i="4" s="1"/>
  <c r="S125" i="4"/>
  <c r="H125" i="4" s="1"/>
  <c r="S126" i="4"/>
  <c r="H126" i="4" s="1"/>
  <c r="S127" i="4"/>
  <c r="H127" i="4" s="1"/>
  <c r="S128" i="4"/>
  <c r="H128" i="4" s="1"/>
  <c r="S129" i="4"/>
  <c r="H129" i="4" s="1"/>
  <c r="S130" i="4"/>
  <c r="H130" i="4" s="1"/>
  <c r="S131" i="4"/>
  <c r="H131" i="4" s="1"/>
  <c r="S132" i="4"/>
  <c r="H132" i="4" s="1"/>
  <c r="S133" i="4"/>
  <c r="H133" i="4" s="1"/>
  <c r="S134" i="4"/>
  <c r="H134" i="4" s="1"/>
  <c r="S135" i="4"/>
  <c r="H135" i="4" s="1"/>
  <c r="S136" i="4"/>
  <c r="H136" i="4" s="1"/>
  <c r="S137" i="4"/>
  <c r="H137" i="4" s="1"/>
  <c r="S138" i="4"/>
  <c r="H138" i="4" s="1"/>
  <c r="S139" i="4"/>
  <c r="H139" i="4" s="1"/>
  <c r="S140" i="4"/>
  <c r="H140" i="4" s="1"/>
  <c r="S141" i="4"/>
  <c r="H141" i="4" s="1"/>
  <c r="S142" i="4"/>
  <c r="H142" i="4" s="1"/>
  <c r="S143" i="4"/>
  <c r="H143" i="4" s="1"/>
  <c r="S144" i="4"/>
  <c r="H144" i="4" s="1"/>
  <c r="S145" i="4"/>
  <c r="H145" i="4" s="1"/>
  <c r="S146" i="4"/>
  <c r="H146" i="4" s="1"/>
  <c r="S147" i="4"/>
  <c r="H147" i="4" s="1"/>
  <c r="S148" i="4"/>
  <c r="H148" i="4" s="1"/>
  <c r="S149" i="4"/>
  <c r="H149" i="4" s="1"/>
  <c r="S150" i="4"/>
  <c r="H150" i="4" s="1"/>
  <c r="S151" i="4"/>
  <c r="H151" i="4" s="1"/>
  <c r="S152" i="4"/>
  <c r="H152" i="4" s="1"/>
  <c r="S153" i="4"/>
  <c r="H153" i="4" s="1"/>
  <c r="S4" i="4"/>
  <c r="H4" i="4" s="1"/>
  <c r="O150" i="4" l="1"/>
  <c r="O142" i="4"/>
  <c r="O134" i="4"/>
  <c r="O126" i="4"/>
  <c r="O118" i="4"/>
  <c r="O110" i="4"/>
  <c r="O102" i="4"/>
  <c r="O94" i="4"/>
  <c r="O86" i="4"/>
  <c r="O78" i="4"/>
  <c r="O70" i="4"/>
  <c r="O62" i="4"/>
  <c r="O54" i="4"/>
  <c r="O46" i="4"/>
  <c r="O38" i="4"/>
  <c r="O30" i="4"/>
  <c r="O22" i="4"/>
  <c r="O14" i="4"/>
  <c r="O6" i="4"/>
  <c r="R121" i="4"/>
  <c r="O152" i="4"/>
  <c r="O144" i="4"/>
  <c r="O136" i="4"/>
  <c r="O128" i="4"/>
  <c r="O120" i="4"/>
  <c r="O112" i="4"/>
  <c r="O104" i="4"/>
  <c r="O96" i="4"/>
  <c r="O88" i="4"/>
  <c r="O80" i="4"/>
  <c r="O72" i="4"/>
  <c r="O64" i="4"/>
  <c r="O56" i="4"/>
  <c r="O48" i="4"/>
  <c r="O40" i="4"/>
  <c r="O32" i="4"/>
  <c r="O24" i="4"/>
  <c r="O16" i="4"/>
  <c r="O8" i="4"/>
  <c r="O151" i="4"/>
  <c r="O143" i="4"/>
  <c r="O135" i="4"/>
  <c r="O127" i="4"/>
  <c r="O119" i="4"/>
  <c r="O111" i="4"/>
  <c r="O103" i="4"/>
  <c r="O95" i="4"/>
  <c r="O87" i="4"/>
  <c r="O79" i="4"/>
  <c r="O71" i="4"/>
  <c r="O63" i="4"/>
  <c r="O55" i="4"/>
  <c r="O47" i="4"/>
  <c r="O39" i="4"/>
  <c r="O31" i="4"/>
  <c r="O23" i="4"/>
  <c r="O15" i="4"/>
  <c r="O7" i="4"/>
  <c r="O149" i="4"/>
  <c r="O141" i="4"/>
  <c r="O133" i="4"/>
  <c r="O125" i="4"/>
  <c r="O117" i="4"/>
  <c r="O109" i="4"/>
  <c r="O101" i="4"/>
  <c r="O93" i="4"/>
  <c r="O85" i="4"/>
  <c r="O77" i="4"/>
  <c r="O69" i="4"/>
  <c r="O61" i="4"/>
  <c r="O53" i="4"/>
  <c r="O45" i="4"/>
  <c r="O37" i="4"/>
  <c r="O29" i="4"/>
  <c r="O21" i="4"/>
  <c r="O13" i="4"/>
  <c r="O5" i="4"/>
  <c r="O147" i="4"/>
  <c r="O139" i="4"/>
  <c r="O131" i="4"/>
  <c r="O123" i="4"/>
  <c r="O115" i="4"/>
  <c r="O107" i="4"/>
  <c r="O99" i="4"/>
  <c r="O91" i="4"/>
  <c r="O83" i="4"/>
  <c r="O75" i="4"/>
  <c r="O67" i="4"/>
  <c r="O59" i="4"/>
  <c r="O51" i="4"/>
  <c r="O43" i="4"/>
  <c r="O35" i="4"/>
  <c r="O27" i="4"/>
  <c r="O19" i="4"/>
  <c r="O11" i="4"/>
  <c r="O146" i="4"/>
  <c r="O138" i="4"/>
  <c r="O130" i="4"/>
  <c r="O122" i="4"/>
  <c r="O114" i="4"/>
  <c r="O106" i="4"/>
  <c r="O98" i="4"/>
  <c r="O90" i="4"/>
  <c r="O82" i="4"/>
  <c r="O74" i="4"/>
  <c r="O66" i="4"/>
  <c r="O58" i="4"/>
  <c r="O50" i="4"/>
  <c r="O42" i="4"/>
  <c r="O34" i="4"/>
  <c r="O26" i="4"/>
  <c r="O18" i="4"/>
  <c r="O10" i="4"/>
  <c r="O153" i="4"/>
  <c r="O145" i="4"/>
  <c r="O137" i="4"/>
  <c r="O129" i="4"/>
  <c r="O121" i="4"/>
  <c r="O113" i="4"/>
  <c r="O105" i="4"/>
  <c r="O97" i="4"/>
  <c r="O89" i="4"/>
  <c r="O81" i="4"/>
  <c r="O73" i="4"/>
  <c r="O65" i="4"/>
  <c r="O57" i="4"/>
  <c r="O49" i="4"/>
  <c r="O41" i="4"/>
  <c r="O33" i="4"/>
  <c r="O25" i="4"/>
  <c r="O17" i="4"/>
  <c r="O9" i="4"/>
  <c r="T107" i="4"/>
  <c r="I107" i="4" s="1"/>
  <c r="T121" i="4"/>
  <c r="I121" i="4" s="1"/>
  <c r="T115" i="4"/>
  <c r="I115" i="4" s="1"/>
  <c r="T101" i="4"/>
  <c r="I101" i="4" s="1"/>
  <c r="R35" i="4"/>
  <c r="T35" i="4" s="1"/>
  <c r="I35" i="4" s="1"/>
  <c r="R56" i="4"/>
  <c r="T56" i="4" s="1"/>
  <c r="I56" i="4" s="1"/>
  <c r="T19" i="4"/>
  <c r="I19" i="4" s="1"/>
  <c r="R9" i="4"/>
  <c r="T9" i="4" s="1"/>
  <c r="I9" i="4" s="1"/>
  <c r="R152" i="4"/>
  <c r="T152" i="4" s="1"/>
  <c r="I152" i="4" s="1"/>
  <c r="R150" i="4"/>
  <c r="T150" i="4" s="1"/>
  <c r="I150" i="4" s="1"/>
  <c r="R126" i="4"/>
  <c r="T126" i="4" s="1"/>
  <c r="I126" i="4" s="1"/>
  <c r="R120" i="4"/>
  <c r="T120" i="4" s="1"/>
  <c r="I120" i="4" s="1"/>
  <c r="R110" i="4"/>
  <c r="T110" i="4" s="1"/>
  <c r="I110" i="4" s="1"/>
  <c r="R104" i="4"/>
  <c r="T104" i="4" s="1"/>
  <c r="I104" i="4" s="1"/>
  <c r="R102" i="4"/>
  <c r="T102" i="4" s="1"/>
  <c r="I102" i="4" s="1"/>
  <c r="R80" i="4"/>
  <c r="T80" i="4" s="1"/>
  <c r="I80" i="4" s="1"/>
  <c r="R78" i="4"/>
  <c r="T78" i="4" s="1"/>
  <c r="I78" i="4" s="1"/>
  <c r="R72" i="4"/>
  <c r="T72" i="4" s="1"/>
  <c r="I72" i="4" s="1"/>
  <c r="R62" i="4"/>
  <c r="T62" i="4" s="1"/>
  <c r="I62" i="4" s="1"/>
  <c r="R16" i="4"/>
  <c r="T16" i="4" s="1"/>
  <c r="I16" i="4" s="1"/>
  <c r="R20" i="4"/>
  <c r="T20" i="4" s="1"/>
  <c r="I20" i="4" s="1"/>
  <c r="R48" i="4"/>
  <c r="T48" i="4" s="1"/>
  <c r="I48" i="4" s="1"/>
  <c r="R99" i="4"/>
  <c r="T99" i="4" s="1"/>
  <c r="I99" i="4" s="1"/>
  <c r="R75" i="4"/>
  <c r="T75" i="4" s="1"/>
  <c r="I75" i="4" s="1"/>
  <c r="R147" i="4"/>
  <c r="T147" i="4" s="1"/>
  <c r="I147" i="4" s="1"/>
  <c r="R77" i="4"/>
  <c r="T77" i="4" s="1"/>
  <c r="I77" i="4" s="1"/>
  <c r="R57" i="4"/>
  <c r="T57" i="4" s="1"/>
  <c r="I57" i="4" s="1"/>
  <c r="R27" i="4"/>
  <c r="T27" i="4" s="1"/>
  <c r="I27" i="4" s="1"/>
  <c r="R140" i="4"/>
  <c r="T140" i="4" s="1"/>
  <c r="I140" i="4" s="1"/>
  <c r="R148" i="4"/>
  <c r="T148" i="4" s="1"/>
  <c r="I148" i="4" s="1"/>
  <c r="R144" i="4"/>
  <c r="T144" i="4" s="1"/>
  <c r="I144" i="4" s="1"/>
  <c r="R124" i="4"/>
  <c r="T124" i="4" s="1"/>
  <c r="I124" i="4" s="1"/>
  <c r="R4" i="4"/>
  <c r="T4" i="4" s="1"/>
  <c r="I4" i="4" s="1"/>
  <c r="R70" i="4"/>
  <c r="T70" i="4" s="1"/>
  <c r="I70" i="4" s="1"/>
  <c r="R68" i="4"/>
  <c r="T68" i="4" s="1"/>
  <c r="I68" i="4" s="1"/>
  <c r="R40" i="4"/>
  <c r="T40" i="4" s="1"/>
  <c r="I40" i="4" s="1"/>
  <c r="R36" i="4"/>
  <c r="T36" i="4" s="1"/>
  <c r="I36" i="4" s="1"/>
  <c r="R32" i="4"/>
  <c r="T32" i="4" s="1"/>
  <c r="I32" i="4" s="1"/>
  <c r="R30" i="4"/>
  <c r="T30" i="4" s="1"/>
  <c r="I30" i="4" s="1"/>
  <c r="R24" i="4"/>
  <c r="T24" i="4" s="1"/>
  <c r="I24" i="4" s="1"/>
  <c r="R22" i="4"/>
  <c r="T22" i="4" s="1"/>
  <c r="I22" i="4" s="1"/>
  <c r="R95" i="4"/>
  <c r="T95" i="4" s="1"/>
  <c r="I95" i="4" s="1"/>
  <c r="R91" i="4"/>
  <c r="T91" i="4" s="1"/>
  <c r="I91" i="4" s="1"/>
  <c r="R89" i="4"/>
  <c r="T89" i="4" s="1"/>
  <c r="I89" i="4" s="1"/>
  <c r="R83" i="4"/>
  <c r="T83" i="4" s="1"/>
  <c r="I83" i="4" s="1"/>
  <c r="R81" i="4"/>
  <c r="T81" i="4" s="1"/>
  <c r="I81" i="4" s="1"/>
  <c r="R60" i="4"/>
  <c r="T60" i="4" s="1"/>
  <c r="I60" i="4" s="1"/>
  <c r="R52" i="4"/>
  <c r="T52" i="4" s="1"/>
  <c r="I52" i="4" s="1"/>
  <c r="R44" i="4"/>
  <c r="T44" i="4" s="1"/>
  <c r="I44" i="4" s="1"/>
  <c r="R146" i="4"/>
  <c r="T146" i="4" s="1"/>
  <c r="I146" i="4" s="1"/>
  <c r="R138" i="4"/>
  <c r="T138" i="4" s="1"/>
  <c r="I138" i="4" s="1"/>
  <c r="R136" i="4"/>
  <c r="T136" i="4" s="1"/>
  <c r="I136" i="4" s="1"/>
  <c r="R134" i="4"/>
  <c r="T134" i="4" s="1"/>
  <c r="I134" i="4" s="1"/>
  <c r="R71" i="4"/>
  <c r="T71" i="4" s="1"/>
  <c r="I71" i="4" s="1"/>
  <c r="R69" i="4"/>
  <c r="T69" i="4" s="1"/>
  <c r="I69" i="4" s="1"/>
  <c r="R67" i="4"/>
  <c r="T67" i="4" s="1"/>
  <c r="I67" i="4" s="1"/>
  <c r="R63" i="4"/>
  <c r="T63" i="4" s="1"/>
  <c r="I63" i="4" s="1"/>
  <c r="R11" i="4"/>
  <c r="T11" i="4" s="1"/>
  <c r="I11" i="4" s="1"/>
  <c r="R5" i="4"/>
  <c r="T5" i="4" s="1"/>
  <c r="I5" i="4" s="1"/>
  <c r="R112" i="4"/>
  <c r="T112" i="4" s="1"/>
  <c r="I112" i="4" s="1"/>
  <c r="R98" i="4"/>
  <c r="T98" i="4" s="1"/>
  <c r="I98" i="4" s="1"/>
  <c r="R96" i="4"/>
  <c r="T96" i="4" s="1"/>
  <c r="I96" i="4" s="1"/>
  <c r="R94" i="4"/>
  <c r="T94" i="4" s="1"/>
  <c r="I94" i="4" s="1"/>
  <c r="R90" i="4"/>
  <c r="T90" i="4" s="1"/>
  <c r="I90" i="4" s="1"/>
  <c r="R88" i="4"/>
  <c r="T88" i="4" s="1"/>
  <c r="I88" i="4" s="1"/>
  <c r="R86" i="4"/>
  <c r="T86" i="4" s="1"/>
  <c r="I86" i="4" s="1"/>
  <c r="R51" i="4"/>
  <c r="T51" i="4" s="1"/>
  <c r="I51" i="4" s="1"/>
  <c r="R43" i="4"/>
  <c r="T43" i="4" s="1"/>
  <c r="I43" i="4" s="1"/>
  <c r="R28" i="4"/>
  <c r="T28" i="4" s="1"/>
  <c r="I28" i="4" s="1"/>
  <c r="R139" i="4"/>
  <c r="T139" i="4" s="1"/>
  <c r="I139" i="4" s="1"/>
  <c r="R131" i="4"/>
  <c r="T131" i="4" s="1"/>
  <c r="I131" i="4" s="1"/>
  <c r="R127" i="4"/>
  <c r="T127" i="4" s="1"/>
  <c r="I127" i="4" s="1"/>
  <c r="R8" i="4"/>
  <c r="T8" i="4" s="1"/>
  <c r="I8" i="4" s="1"/>
  <c r="O4" i="4"/>
  <c r="R142" i="4"/>
  <c r="T142" i="4" s="1"/>
  <c r="I142" i="4" s="1"/>
  <c r="R123" i="4"/>
  <c r="T123" i="4" s="1"/>
  <c r="I123" i="4" s="1"/>
  <c r="R92" i="4"/>
  <c r="T92" i="4" s="1"/>
  <c r="I92" i="4" s="1"/>
  <c r="R59" i="4"/>
  <c r="T59" i="4" s="1"/>
  <c r="I59" i="4" s="1"/>
  <c r="R46" i="4"/>
  <c r="T46" i="4" s="1"/>
  <c r="I46" i="4" s="1"/>
  <c r="R13" i="4"/>
  <c r="T13" i="4" s="1"/>
  <c r="I13" i="4" s="1"/>
  <c r="R7" i="4"/>
  <c r="T7" i="4" s="1"/>
  <c r="I7" i="4" s="1"/>
  <c r="R118" i="4"/>
  <c r="T118" i="4" s="1"/>
  <c r="I118" i="4" s="1"/>
  <c r="R109" i="4"/>
  <c r="T109" i="4" s="1"/>
  <c r="I109" i="4" s="1"/>
  <c r="R103" i="4"/>
  <c r="T103" i="4" s="1"/>
  <c r="I103" i="4" s="1"/>
  <c r="R66" i="4"/>
  <c r="T66" i="4" s="1"/>
  <c r="I66" i="4" s="1"/>
  <c r="R54" i="4"/>
  <c r="T54" i="4" s="1"/>
  <c r="I54" i="4" s="1"/>
  <c r="R14" i="4"/>
  <c r="T14" i="4" s="1"/>
  <c r="I14" i="4" s="1"/>
  <c r="R128" i="4"/>
  <c r="T128" i="4" s="1"/>
  <c r="I128" i="4" s="1"/>
  <c r="R122" i="4"/>
  <c r="T122" i="4" s="1"/>
  <c r="I122" i="4" s="1"/>
  <c r="R113" i="4"/>
  <c r="T113" i="4" s="1"/>
  <c r="I113" i="4" s="1"/>
  <c r="R100" i="4"/>
  <c r="T100" i="4" s="1"/>
  <c r="I100" i="4" s="1"/>
  <c r="R64" i="4"/>
  <c r="T64" i="4" s="1"/>
  <c r="I64" i="4" s="1"/>
  <c r="R58" i="4"/>
  <c r="T58" i="4" s="1"/>
  <c r="I58" i="4" s="1"/>
  <c r="R38" i="4"/>
  <c r="T38" i="4" s="1"/>
  <c r="I38" i="4" s="1"/>
  <c r="R6" i="4"/>
  <c r="T6" i="4" s="1"/>
  <c r="I6" i="4" s="1"/>
  <c r="R130" i="4"/>
  <c r="T130" i="4" s="1"/>
  <c r="I130" i="4" s="1"/>
  <c r="R119" i="4"/>
  <c r="T119" i="4" s="1"/>
  <c r="I119" i="4" s="1"/>
  <c r="R108" i="4"/>
  <c r="T108" i="4" s="1"/>
  <c r="I108" i="4" s="1"/>
  <c r="R105" i="4"/>
  <c r="T105" i="4" s="1"/>
  <c r="I105" i="4" s="1"/>
  <c r="R87" i="4"/>
  <c r="T87" i="4" s="1"/>
  <c r="I87" i="4" s="1"/>
  <c r="R76" i="4"/>
  <c r="T76" i="4" s="1"/>
  <c r="I76" i="4" s="1"/>
  <c r="R73" i="4"/>
  <c r="T73" i="4" s="1"/>
  <c r="I73" i="4" s="1"/>
  <c r="R55" i="4"/>
  <c r="T55" i="4" s="1"/>
  <c r="I55" i="4" s="1"/>
  <c r="R47" i="4"/>
  <c r="T47" i="4" s="1"/>
  <c r="I47" i="4" s="1"/>
  <c r="R39" i="4"/>
  <c r="T39" i="4" s="1"/>
  <c r="I39" i="4" s="1"/>
  <c r="R31" i="4"/>
  <c r="T31" i="4" s="1"/>
  <c r="I31" i="4" s="1"/>
  <c r="R23" i="4"/>
  <c r="T23" i="4" s="1"/>
  <c r="I23" i="4" s="1"/>
  <c r="R15" i="4"/>
  <c r="T15" i="4" s="1"/>
  <c r="I15" i="4" s="1"/>
  <c r="R116" i="4"/>
  <c r="T116" i="4" s="1"/>
  <c r="I116" i="4" s="1"/>
  <c r="R84" i="4"/>
  <c r="T84" i="4" s="1"/>
  <c r="I84" i="4" s="1"/>
  <c r="R12" i="4"/>
  <c r="T12" i="4" s="1"/>
  <c r="I12" i="4" s="1"/>
  <c r="R151" i="4"/>
  <c r="T151" i="4" s="1"/>
  <c r="I151" i="4" s="1"/>
  <c r="R143" i="4"/>
  <c r="T143" i="4" s="1"/>
  <c r="I143" i="4" s="1"/>
  <c r="R135" i="4"/>
  <c r="T135" i="4" s="1"/>
  <c r="I135" i="4" s="1"/>
  <c r="R117" i="4"/>
  <c r="T117" i="4" s="1"/>
  <c r="I117" i="4" s="1"/>
  <c r="R106" i="4"/>
  <c r="T106" i="4" s="1"/>
  <c r="I106" i="4" s="1"/>
  <c r="R85" i="4"/>
  <c r="T85" i="4" s="1"/>
  <c r="I85" i="4" s="1"/>
  <c r="R74" i="4"/>
  <c r="T74" i="4" s="1"/>
  <c r="I74" i="4" s="1"/>
  <c r="R53" i="4"/>
  <c r="T53" i="4" s="1"/>
  <c r="I53" i="4" s="1"/>
  <c r="R49" i="4"/>
  <c r="T49" i="4" s="1"/>
  <c r="I49" i="4" s="1"/>
  <c r="R45" i="4"/>
  <c r="T45" i="4" s="1"/>
  <c r="I45" i="4" s="1"/>
  <c r="R41" i="4"/>
  <c r="T41" i="4" s="1"/>
  <c r="I41" i="4" s="1"/>
  <c r="R37" i="4"/>
  <c r="T37" i="4" s="1"/>
  <c r="I37" i="4" s="1"/>
  <c r="R33" i="4"/>
  <c r="T33" i="4" s="1"/>
  <c r="I33" i="4" s="1"/>
  <c r="R29" i="4"/>
  <c r="T29" i="4" s="1"/>
  <c r="I29" i="4" s="1"/>
  <c r="R25" i="4"/>
  <c r="T25" i="4" s="1"/>
  <c r="I25" i="4" s="1"/>
  <c r="R21" i="4"/>
  <c r="T21" i="4" s="1"/>
  <c r="I21" i="4" s="1"/>
  <c r="R17" i="4"/>
  <c r="T17" i="4" s="1"/>
  <c r="I17" i="4" s="1"/>
  <c r="R132" i="4"/>
  <c r="T132" i="4" s="1"/>
  <c r="I132" i="4" s="1"/>
  <c r="R129" i="4"/>
  <c r="T129" i="4" s="1"/>
  <c r="I129" i="4" s="1"/>
  <c r="R125" i="4"/>
  <c r="T125" i="4" s="1"/>
  <c r="I125" i="4" s="1"/>
  <c r="R114" i="4"/>
  <c r="T114" i="4" s="1"/>
  <c r="I114" i="4" s="1"/>
  <c r="R93" i="4"/>
  <c r="T93" i="4" s="1"/>
  <c r="I93" i="4" s="1"/>
  <c r="R82" i="4"/>
  <c r="T82" i="4" s="1"/>
  <c r="I82" i="4" s="1"/>
  <c r="R61" i="4"/>
  <c r="T61" i="4" s="1"/>
  <c r="I61" i="4" s="1"/>
  <c r="R10" i="4"/>
  <c r="T10" i="4" s="1"/>
  <c r="I10" i="4" s="1"/>
  <c r="R153" i="4"/>
  <c r="T153" i="4" s="1"/>
  <c r="I153" i="4" s="1"/>
  <c r="R149" i="4"/>
  <c r="T149" i="4" s="1"/>
  <c r="I149" i="4" s="1"/>
  <c r="R145" i="4"/>
  <c r="T145" i="4" s="1"/>
  <c r="I145" i="4" s="1"/>
  <c r="R141" i="4"/>
  <c r="T141" i="4" s="1"/>
  <c r="I141" i="4" s="1"/>
  <c r="R137" i="4"/>
  <c r="T137" i="4" s="1"/>
  <c r="I137" i="4" s="1"/>
  <c r="R133" i="4"/>
  <c r="T133" i="4" s="1"/>
  <c r="I133" i="4" s="1"/>
  <c r="R111" i="4"/>
  <c r="T111" i="4" s="1"/>
  <c r="I111" i="4" s="1"/>
  <c r="R97" i="4"/>
  <c r="T97" i="4" s="1"/>
  <c r="I97" i="4" s="1"/>
  <c r="R79" i="4"/>
  <c r="T79" i="4" s="1"/>
  <c r="I79" i="4" s="1"/>
  <c r="R65" i="4"/>
  <c r="T65" i="4" s="1"/>
  <c r="I65" i="4" s="1"/>
  <c r="R50" i="4"/>
  <c r="T50" i="4" s="1"/>
  <c r="I50" i="4" s="1"/>
  <c r="R42" i="4"/>
  <c r="T42" i="4" s="1"/>
  <c r="I42" i="4" s="1"/>
  <c r="R34" i="4"/>
  <c r="T34" i="4" s="1"/>
  <c r="I34" i="4" s="1"/>
  <c r="R26" i="4"/>
  <c r="T26" i="4" s="1"/>
  <c r="I26" i="4" s="1"/>
  <c r="R18" i="4"/>
  <c r="T18" i="4" s="1"/>
  <c r="I18" i="4" s="1"/>
  <c r="J83" i="4"/>
  <c r="J116" i="4"/>
  <c r="J48" i="4"/>
  <c r="J54" i="4"/>
  <c r="J26" i="4"/>
  <c r="J94" i="4"/>
  <c r="J21" i="4"/>
  <c r="J24" i="4"/>
  <c r="J47" i="4"/>
  <c r="J78" i="4"/>
  <c r="J7" i="4"/>
  <c r="J79" i="4"/>
  <c r="J11" i="4"/>
  <c r="J129" i="4"/>
  <c r="J91" i="4"/>
  <c r="J23" i="4"/>
  <c r="J16" i="4"/>
  <c r="J103" i="4"/>
  <c r="J42" i="4"/>
  <c r="J118" i="4"/>
  <c r="J37" i="4"/>
  <c r="J97" i="4"/>
  <c r="J50" i="4"/>
  <c r="J133" i="4"/>
  <c r="J153" i="4"/>
  <c r="J134" i="4"/>
  <c r="J85" i="4"/>
  <c r="J148" i="4"/>
  <c r="J38" i="4"/>
  <c r="J19" i="4"/>
  <c r="J131" i="4"/>
  <c r="J61" i="4"/>
  <c r="J52" i="4"/>
  <c r="J151" i="4"/>
  <c r="J147" i="4"/>
  <c r="J122" i="4"/>
  <c r="J121" i="4"/>
  <c r="J86" i="4"/>
  <c r="J149" i="4"/>
  <c r="J138" i="4"/>
  <c r="J117" i="4"/>
  <c r="J27" i="4"/>
  <c r="J64" i="4"/>
  <c r="J119" i="4"/>
  <c r="J5" i="4"/>
  <c r="J87" i="4"/>
  <c r="J70" i="4"/>
  <c r="J33" i="4"/>
  <c r="J104" i="4"/>
  <c r="J124" i="4"/>
  <c r="J146" i="4"/>
  <c r="J141" i="4"/>
  <c r="J98" i="4"/>
  <c r="J29" i="4"/>
  <c r="J32" i="4"/>
  <c r="J73" i="4"/>
  <c r="J102" i="4"/>
  <c r="J46" i="4"/>
  <c r="J111" i="4"/>
  <c r="J67" i="4"/>
  <c r="J49" i="4"/>
  <c r="J4" i="4"/>
  <c r="J150" i="4"/>
  <c r="J65" i="4"/>
  <c r="J40" i="4"/>
  <c r="J31" i="4"/>
  <c r="J76" i="4"/>
  <c r="J152" i="4"/>
  <c r="J123" i="4"/>
  <c r="J35" i="4"/>
  <c r="J28" i="4"/>
  <c r="J93" i="4"/>
  <c r="J81" i="4"/>
  <c r="J84" i="4"/>
  <c r="J99" i="4"/>
  <c r="J14" i="4"/>
  <c r="J18" i="4"/>
  <c r="J90" i="4"/>
  <c r="J17" i="4"/>
  <c r="J22" i="4"/>
  <c r="J39" i="4"/>
  <c r="J72" i="4"/>
  <c r="J113" i="4"/>
  <c r="J115" i="4"/>
  <c r="J51" i="4"/>
  <c r="J125" i="4"/>
  <c r="J89" i="4"/>
  <c r="J15" i="4"/>
  <c r="J34" i="4"/>
  <c r="J55" i="4"/>
  <c r="J63" i="4"/>
  <c r="J62" i="4"/>
  <c r="J59" i="4"/>
  <c r="J53" i="4"/>
  <c r="J8" i="4"/>
  <c r="J105" i="4"/>
  <c r="J110" i="4"/>
  <c r="J92" i="4"/>
  <c r="J137" i="4"/>
  <c r="J71" i="4"/>
  <c r="J74" i="4"/>
  <c r="J144" i="4"/>
  <c r="J6" i="4"/>
  <c r="J9" i="4"/>
  <c r="J127" i="4"/>
  <c r="J10" i="4"/>
  <c r="J44" i="4"/>
  <c r="J143" i="4"/>
  <c r="J77" i="4"/>
  <c r="J108" i="4"/>
  <c r="J126" i="4"/>
  <c r="J142" i="4"/>
  <c r="J145" i="4"/>
  <c r="J136" i="4"/>
  <c r="J106" i="4"/>
  <c r="J96" i="4"/>
  <c r="J80" i="4"/>
  <c r="J45" i="4"/>
  <c r="J112" i="4"/>
  <c r="J36" i="4"/>
  <c r="J130" i="4"/>
  <c r="J68" i="4"/>
  <c r="J20" i="4"/>
  <c r="J66" i="4"/>
  <c r="J25" i="4"/>
  <c r="J30" i="4"/>
  <c r="J13" i="4"/>
  <c r="J109" i="4"/>
  <c r="J120" i="4"/>
  <c r="J140" i="4"/>
  <c r="J58" i="4"/>
  <c r="J56" i="4"/>
  <c r="J139" i="4"/>
  <c r="J82" i="4"/>
  <c r="J60" i="4"/>
  <c r="J12" i="4"/>
  <c r="J75" i="4"/>
  <c r="J128" i="4"/>
  <c r="J107" i="4"/>
  <c r="J88" i="4"/>
  <c r="J132" i="4"/>
  <c r="J95" i="4"/>
  <c r="J135" i="4"/>
  <c r="J57" i="4"/>
  <c r="J100" i="4"/>
  <c r="J101" i="4"/>
  <c r="J43" i="4"/>
  <c r="J114" i="4"/>
  <c r="J69" i="4"/>
  <c r="J41" i="4"/>
  <c r="U4" i="3" l="1"/>
  <c r="V4" i="3"/>
  <c r="X4" i="3"/>
  <c r="Y4" i="3" s="1"/>
  <c r="U5" i="3"/>
  <c r="V5" i="3"/>
  <c r="X5" i="3"/>
  <c r="Y5" i="3" s="1"/>
  <c r="U6" i="3"/>
  <c r="V6" i="3"/>
  <c r="X6" i="3"/>
  <c r="Y6" i="3" s="1"/>
  <c r="U7" i="3"/>
  <c r="V7" i="3"/>
  <c r="X7" i="3"/>
  <c r="Y7" i="3" s="1"/>
  <c r="U8" i="3"/>
  <c r="V8" i="3"/>
  <c r="X8" i="3"/>
  <c r="Y8" i="3" s="1"/>
  <c r="U9" i="3"/>
  <c r="V9" i="3"/>
  <c r="X9" i="3"/>
  <c r="Y9" i="3" s="1"/>
  <c r="U10" i="3"/>
  <c r="V10" i="3"/>
  <c r="X10" i="3"/>
  <c r="Y10" i="3" s="1"/>
  <c r="U11" i="3"/>
  <c r="V11" i="3"/>
  <c r="X11" i="3"/>
  <c r="Y11" i="3" s="1"/>
  <c r="U12" i="3"/>
  <c r="V12" i="3"/>
  <c r="X12" i="3"/>
  <c r="Y12" i="3" s="1"/>
  <c r="U13" i="3"/>
  <c r="V13" i="3"/>
  <c r="X13" i="3"/>
  <c r="Y13" i="3" s="1"/>
  <c r="U14" i="3"/>
  <c r="V14" i="3"/>
  <c r="X14" i="3"/>
  <c r="Y14" i="3" s="1"/>
  <c r="U15" i="3"/>
  <c r="V15" i="3"/>
  <c r="X15" i="3"/>
  <c r="U16" i="3"/>
  <c r="V16" i="3"/>
  <c r="X16" i="3"/>
  <c r="Y16" i="3" s="1"/>
  <c r="U17" i="3"/>
  <c r="V17" i="3"/>
  <c r="X17" i="3"/>
  <c r="Y17" i="3" s="1"/>
  <c r="U18" i="3"/>
  <c r="V18" i="3"/>
  <c r="X18" i="3"/>
  <c r="Y18" i="3" s="1"/>
  <c r="U19" i="3"/>
  <c r="V19" i="3"/>
  <c r="X19" i="3"/>
  <c r="Y19" i="3" s="1"/>
  <c r="U20" i="3"/>
  <c r="V20" i="3"/>
  <c r="X20" i="3"/>
  <c r="Y20" i="3" s="1"/>
  <c r="U21" i="3"/>
  <c r="V21" i="3"/>
  <c r="X21" i="3"/>
  <c r="Y21" i="3" s="1"/>
  <c r="U22" i="3"/>
  <c r="V22" i="3"/>
  <c r="X22" i="3"/>
  <c r="Y22" i="3" s="1"/>
  <c r="U23" i="3"/>
  <c r="V23" i="3"/>
  <c r="X23" i="3"/>
  <c r="Y23" i="3" s="1"/>
  <c r="U24" i="3"/>
  <c r="V24" i="3"/>
  <c r="X24" i="3"/>
  <c r="Y24" i="3" s="1"/>
  <c r="U25" i="3"/>
  <c r="V25" i="3"/>
  <c r="X25" i="3"/>
  <c r="Y25" i="3" s="1"/>
  <c r="U26" i="3"/>
  <c r="V26" i="3"/>
  <c r="X26" i="3"/>
  <c r="Y26" i="3" s="1"/>
  <c r="U27" i="3"/>
  <c r="V27" i="3"/>
  <c r="X27" i="3"/>
  <c r="Y27" i="3" s="1"/>
  <c r="U28" i="3"/>
  <c r="V28" i="3"/>
  <c r="X28" i="3"/>
  <c r="Y28" i="3" s="1"/>
  <c r="U29" i="3"/>
  <c r="V29" i="3"/>
  <c r="X29" i="3"/>
  <c r="Y29" i="3" s="1"/>
  <c r="U30" i="3"/>
  <c r="V30" i="3"/>
  <c r="X30" i="3"/>
  <c r="Y30" i="3" s="1"/>
  <c r="U31" i="3"/>
  <c r="V31" i="3"/>
  <c r="X31" i="3"/>
  <c r="Y31" i="3" s="1"/>
  <c r="U32" i="3"/>
  <c r="V32" i="3"/>
  <c r="X32" i="3"/>
  <c r="Y32" i="3" s="1"/>
  <c r="U33" i="3"/>
  <c r="V33" i="3"/>
  <c r="X33" i="3"/>
  <c r="Y33" i="3" s="1"/>
  <c r="U34" i="3"/>
  <c r="V34" i="3"/>
  <c r="X34" i="3"/>
  <c r="Y34" i="3" s="1"/>
  <c r="U35" i="3"/>
  <c r="V35" i="3"/>
  <c r="X35" i="3"/>
  <c r="Y35" i="3" s="1"/>
  <c r="U36" i="3"/>
  <c r="V36" i="3"/>
  <c r="X36" i="3"/>
  <c r="Y36" i="3" s="1"/>
  <c r="U37" i="3"/>
  <c r="V37" i="3"/>
  <c r="X37" i="3"/>
  <c r="Y37" i="3" s="1"/>
  <c r="U38" i="3"/>
  <c r="V38" i="3"/>
  <c r="X38" i="3"/>
  <c r="Y38" i="3" s="1"/>
  <c r="U39" i="3"/>
  <c r="V39" i="3"/>
  <c r="X39" i="3"/>
  <c r="Y39" i="3" s="1"/>
  <c r="U40" i="3"/>
  <c r="V40" i="3"/>
  <c r="X40" i="3"/>
  <c r="Y40" i="3" s="1"/>
  <c r="U41" i="3"/>
  <c r="V41" i="3"/>
  <c r="X41" i="3"/>
  <c r="Y41" i="3" s="1"/>
  <c r="U42" i="3"/>
  <c r="V42" i="3"/>
  <c r="X42" i="3"/>
  <c r="Y42" i="3" s="1"/>
  <c r="U43" i="3"/>
  <c r="V43" i="3"/>
  <c r="X43" i="3"/>
  <c r="Y43" i="3" s="1"/>
  <c r="U44" i="3"/>
  <c r="V44" i="3"/>
  <c r="X44" i="3"/>
  <c r="Y44" i="3" s="1"/>
  <c r="U45" i="3"/>
  <c r="V45" i="3"/>
  <c r="X45" i="3"/>
  <c r="Y45" i="3" s="1"/>
  <c r="U46" i="3"/>
  <c r="V46" i="3"/>
  <c r="X46" i="3"/>
  <c r="Y46" i="3" s="1"/>
  <c r="U47" i="3"/>
  <c r="V47" i="3"/>
  <c r="X47" i="3"/>
  <c r="Y47" i="3" s="1"/>
  <c r="U48" i="3"/>
  <c r="V48" i="3"/>
  <c r="X48" i="3"/>
  <c r="Y48" i="3" s="1"/>
  <c r="U49" i="3"/>
  <c r="V49" i="3"/>
  <c r="X49" i="3"/>
  <c r="Y49" i="3" s="1"/>
  <c r="U50" i="3"/>
  <c r="V50" i="3"/>
  <c r="X50" i="3"/>
  <c r="Y50" i="3" s="1"/>
  <c r="U51" i="3"/>
  <c r="V51" i="3"/>
  <c r="X51" i="3"/>
  <c r="Y51" i="3" s="1"/>
  <c r="U52" i="3"/>
  <c r="V52" i="3"/>
  <c r="X52" i="3"/>
  <c r="Y52" i="3" s="1"/>
  <c r="U53" i="3"/>
  <c r="V53" i="3"/>
  <c r="X53" i="3"/>
  <c r="Y53" i="3" s="1"/>
  <c r="U54" i="3"/>
  <c r="V54" i="3"/>
  <c r="X54" i="3"/>
  <c r="Y54" i="3" s="1"/>
  <c r="U55" i="3"/>
  <c r="V55" i="3"/>
  <c r="X55" i="3"/>
  <c r="Y55" i="3" s="1"/>
  <c r="U56" i="3"/>
  <c r="V56" i="3"/>
  <c r="X56" i="3"/>
  <c r="Y56" i="3" s="1"/>
  <c r="U57" i="3"/>
  <c r="V57" i="3"/>
  <c r="X57" i="3"/>
  <c r="Y57" i="3" s="1"/>
  <c r="U58" i="3"/>
  <c r="V58" i="3"/>
  <c r="X58" i="3"/>
  <c r="Y58" i="3" s="1"/>
  <c r="U59" i="3"/>
  <c r="V59" i="3"/>
  <c r="X59" i="3"/>
  <c r="Y59" i="3" s="1"/>
  <c r="U60" i="3"/>
  <c r="V60" i="3"/>
  <c r="X60" i="3"/>
  <c r="Y60" i="3" s="1"/>
  <c r="U61" i="3"/>
  <c r="V61" i="3"/>
  <c r="X61" i="3"/>
  <c r="Y61" i="3" s="1"/>
  <c r="U62" i="3"/>
  <c r="V62" i="3"/>
  <c r="X62" i="3"/>
  <c r="Y62" i="3" s="1"/>
  <c r="U63" i="3"/>
  <c r="V63" i="3"/>
  <c r="X63" i="3"/>
  <c r="Y63" i="3" s="1"/>
  <c r="U64" i="3"/>
  <c r="V64" i="3"/>
  <c r="X64" i="3"/>
  <c r="Y64" i="3" s="1"/>
  <c r="U65" i="3"/>
  <c r="V65" i="3"/>
  <c r="X65" i="3"/>
  <c r="Y65" i="3" s="1"/>
  <c r="U66" i="3"/>
  <c r="V66" i="3"/>
  <c r="X66" i="3"/>
  <c r="Y66" i="3" s="1"/>
  <c r="U67" i="3"/>
  <c r="V67" i="3"/>
  <c r="X67" i="3"/>
  <c r="Y67" i="3" s="1"/>
  <c r="U68" i="3"/>
  <c r="V68" i="3"/>
  <c r="X68" i="3"/>
  <c r="Y68" i="3" s="1"/>
  <c r="U69" i="3"/>
  <c r="V69" i="3"/>
  <c r="X69" i="3"/>
  <c r="Y69" i="3" s="1"/>
  <c r="U70" i="3"/>
  <c r="V70" i="3"/>
  <c r="X70" i="3"/>
  <c r="Y70" i="3" s="1"/>
  <c r="U71" i="3"/>
  <c r="V71" i="3"/>
  <c r="X71" i="3"/>
  <c r="Y71" i="3" s="1"/>
  <c r="U72" i="3"/>
  <c r="V72" i="3"/>
  <c r="X72" i="3"/>
  <c r="Y72" i="3" s="1"/>
  <c r="U73" i="3"/>
  <c r="V73" i="3"/>
  <c r="X73" i="3"/>
  <c r="Y73" i="3" s="1"/>
  <c r="U74" i="3"/>
  <c r="V74" i="3"/>
  <c r="X74" i="3"/>
  <c r="Y74" i="3" s="1"/>
  <c r="U75" i="3"/>
  <c r="V75" i="3"/>
  <c r="X75" i="3"/>
  <c r="Y75" i="3" s="1"/>
  <c r="U76" i="3"/>
  <c r="V76" i="3"/>
  <c r="X76" i="3"/>
  <c r="Y76" i="3" s="1"/>
  <c r="U77" i="3"/>
  <c r="V77" i="3"/>
  <c r="W77" i="3" s="1"/>
  <c r="X77" i="3"/>
  <c r="Y77" i="3" s="1"/>
  <c r="U78" i="3"/>
  <c r="V78" i="3"/>
  <c r="X78" i="3"/>
  <c r="Y78" i="3" s="1"/>
  <c r="U79" i="3"/>
  <c r="V79" i="3"/>
  <c r="X79" i="3"/>
  <c r="Y79" i="3" s="1"/>
  <c r="U80" i="3"/>
  <c r="V80" i="3"/>
  <c r="X80" i="3"/>
  <c r="Y80" i="3" s="1"/>
  <c r="U81" i="3"/>
  <c r="V81" i="3"/>
  <c r="X81" i="3"/>
  <c r="Y81" i="3" s="1"/>
  <c r="U82" i="3"/>
  <c r="V82" i="3"/>
  <c r="X82" i="3"/>
  <c r="Y82" i="3" s="1"/>
  <c r="U83" i="3"/>
  <c r="V83" i="3"/>
  <c r="X83" i="3"/>
  <c r="Y83" i="3" s="1"/>
  <c r="U84" i="3"/>
  <c r="V84" i="3"/>
  <c r="X84" i="3"/>
  <c r="Y84" i="3" s="1"/>
  <c r="U85" i="3"/>
  <c r="V85" i="3"/>
  <c r="X85" i="3"/>
  <c r="Y85" i="3" s="1"/>
  <c r="U86" i="3"/>
  <c r="V86" i="3"/>
  <c r="X86" i="3"/>
  <c r="Y86" i="3" s="1"/>
  <c r="U87" i="3"/>
  <c r="V87" i="3"/>
  <c r="X87" i="3"/>
  <c r="Y87" i="3" s="1"/>
  <c r="U88" i="3"/>
  <c r="V88" i="3"/>
  <c r="X88" i="3"/>
  <c r="Y88" i="3" s="1"/>
  <c r="U89" i="3"/>
  <c r="V89" i="3"/>
  <c r="X89" i="3"/>
  <c r="Y89" i="3" s="1"/>
  <c r="U90" i="3"/>
  <c r="V90" i="3"/>
  <c r="X90" i="3"/>
  <c r="Y90" i="3" s="1"/>
  <c r="U91" i="3"/>
  <c r="V91" i="3"/>
  <c r="X91" i="3"/>
  <c r="Y91" i="3" s="1"/>
  <c r="U92" i="3"/>
  <c r="V92" i="3"/>
  <c r="X92" i="3"/>
  <c r="Y92" i="3" s="1"/>
  <c r="U93" i="3"/>
  <c r="V93" i="3"/>
  <c r="X93" i="3"/>
  <c r="Y93" i="3" s="1"/>
  <c r="U94" i="3"/>
  <c r="V94" i="3"/>
  <c r="W94" i="3" s="1"/>
  <c r="X94" i="3"/>
  <c r="Y94" i="3" s="1"/>
  <c r="U95" i="3"/>
  <c r="V95" i="3"/>
  <c r="X95" i="3"/>
  <c r="Y95" i="3" s="1"/>
  <c r="U96" i="3"/>
  <c r="V96" i="3"/>
  <c r="X96" i="3"/>
  <c r="Y96" i="3" s="1"/>
  <c r="U97" i="3"/>
  <c r="V97" i="3"/>
  <c r="X97" i="3"/>
  <c r="Y97" i="3" s="1"/>
  <c r="U98" i="3"/>
  <c r="V98" i="3"/>
  <c r="X98" i="3"/>
  <c r="Y98" i="3" s="1"/>
  <c r="U99" i="3"/>
  <c r="V99" i="3"/>
  <c r="X99" i="3"/>
  <c r="Y99" i="3" s="1"/>
  <c r="U100" i="3"/>
  <c r="V100" i="3"/>
  <c r="X100" i="3"/>
  <c r="Y100" i="3" s="1"/>
  <c r="U101" i="3"/>
  <c r="V101" i="3"/>
  <c r="X101" i="3"/>
  <c r="Y101" i="3" s="1"/>
  <c r="U102" i="3"/>
  <c r="V102" i="3"/>
  <c r="X102" i="3"/>
  <c r="Y102" i="3" s="1"/>
  <c r="U103" i="3"/>
  <c r="V103" i="3"/>
  <c r="X103" i="3"/>
  <c r="Y103" i="3" s="1"/>
  <c r="U104" i="3"/>
  <c r="V104" i="3"/>
  <c r="W104" i="3"/>
  <c r="X104" i="3"/>
  <c r="Y104" i="3" s="1"/>
  <c r="U105" i="3"/>
  <c r="V105" i="3"/>
  <c r="X105" i="3"/>
  <c r="Y105" i="3" s="1"/>
  <c r="U106" i="3"/>
  <c r="V106" i="3"/>
  <c r="X106" i="3"/>
  <c r="Y106" i="3"/>
  <c r="U107" i="3"/>
  <c r="V107" i="3"/>
  <c r="X107" i="3"/>
  <c r="Y107" i="3"/>
  <c r="U108" i="3"/>
  <c r="V108" i="3"/>
  <c r="X108" i="3"/>
  <c r="Y108" i="3" s="1"/>
  <c r="U109" i="3"/>
  <c r="V109" i="3"/>
  <c r="X109" i="3"/>
  <c r="Y109" i="3" s="1"/>
  <c r="U110" i="3"/>
  <c r="V110" i="3"/>
  <c r="X110" i="3"/>
  <c r="Y110" i="3" s="1"/>
  <c r="U111" i="3"/>
  <c r="V111" i="3"/>
  <c r="X111" i="3"/>
  <c r="Y111" i="3" s="1"/>
  <c r="U112" i="3"/>
  <c r="V112" i="3"/>
  <c r="X112" i="3"/>
  <c r="Y112" i="3" s="1"/>
  <c r="U113" i="3"/>
  <c r="V113" i="3"/>
  <c r="X113" i="3"/>
  <c r="Y113" i="3" s="1"/>
  <c r="U114" i="3"/>
  <c r="V114" i="3"/>
  <c r="X114" i="3"/>
  <c r="Y114" i="3" s="1"/>
  <c r="U115" i="3"/>
  <c r="V115" i="3"/>
  <c r="X115" i="3"/>
  <c r="Y115" i="3" s="1"/>
  <c r="U116" i="3"/>
  <c r="V116" i="3"/>
  <c r="X116" i="3"/>
  <c r="Y116" i="3" s="1"/>
  <c r="U117" i="3"/>
  <c r="V117" i="3"/>
  <c r="X117" i="3"/>
  <c r="Y117" i="3" s="1"/>
  <c r="U118" i="3"/>
  <c r="V118" i="3"/>
  <c r="X118" i="3"/>
  <c r="Y118" i="3" s="1"/>
  <c r="U119" i="3"/>
  <c r="V119" i="3"/>
  <c r="X119" i="3"/>
  <c r="Y119" i="3" s="1"/>
  <c r="U120" i="3"/>
  <c r="V120" i="3"/>
  <c r="X120" i="3"/>
  <c r="Y120" i="3" s="1"/>
  <c r="U121" i="3"/>
  <c r="V121" i="3"/>
  <c r="X121" i="3"/>
  <c r="Y121" i="3" s="1"/>
  <c r="U122" i="3"/>
  <c r="V122" i="3"/>
  <c r="X122" i="3"/>
  <c r="Y122" i="3"/>
  <c r="U123" i="3"/>
  <c r="V123" i="3"/>
  <c r="X123" i="3"/>
  <c r="Y123" i="3" s="1"/>
  <c r="U124" i="3"/>
  <c r="V124" i="3"/>
  <c r="X124" i="3"/>
  <c r="Y124" i="3" s="1"/>
  <c r="U125" i="3"/>
  <c r="V125" i="3"/>
  <c r="X125" i="3"/>
  <c r="Y125" i="3" s="1"/>
  <c r="U126" i="3"/>
  <c r="V126" i="3"/>
  <c r="X126" i="3"/>
  <c r="Y126" i="3" s="1"/>
  <c r="U127" i="3"/>
  <c r="V127" i="3"/>
  <c r="X127" i="3"/>
  <c r="Y127" i="3" s="1"/>
  <c r="U128" i="3"/>
  <c r="V128" i="3"/>
  <c r="X128" i="3"/>
  <c r="U129" i="3"/>
  <c r="V129" i="3"/>
  <c r="X129" i="3"/>
  <c r="U130" i="3"/>
  <c r="V130" i="3"/>
  <c r="X130" i="3"/>
  <c r="Y130" i="3" s="1"/>
  <c r="U131" i="3"/>
  <c r="V131" i="3"/>
  <c r="X131" i="3"/>
  <c r="Y131" i="3"/>
  <c r="U132" i="3"/>
  <c r="V132" i="3"/>
  <c r="X132" i="3"/>
  <c r="Y132" i="3"/>
  <c r="U133" i="3"/>
  <c r="V133" i="3"/>
  <c r="X133" i="3"/>
  <c r="Y133" i="3" s="1"/>
  <c r="U134" i="3"/>
  <c r="V134" i="3"/>
  <c r="X134" i="3"/>
  <c r="Y134" i="3" s="1"/>
  <c r="U135" i="3"/>
  <c r="V135" i="3"/>
  <c r="X135" i="3"/>
  <c r="Y135" i="3" s="1"/>
  <c r="U136" i="3"/>
  <c r="V136" i="3"/>
  <c r="X136" i="3"/>
  <c r="Y136" i="3" s="1"/>
  <c r="U137" i="3"/>
  <c r="V137" i="3"/>
  <c r="X137" i="3"/>
  <c r="Y137" i="3" s="1"/>
  <c r="U138" i="3"/>
  <c r="V138" i="3"/>
  <c r="X138" i="3"/>
  <c r="Y138" i="3" s="1"/>
  <c r="U139" i="3"/>
  <c r="V139" i="3"/>
  <c r="X139" i="3"/>
  <c r="Y139" i="3" s="1"/>
  <c r="U140" i="3"/>
  <c r="V140" i="3"/>
  <c r="W140" i="3"/>
  <c r="X140" i="3"/>
  <c r="Y140" i="3" s="1"/>
  <c r="U141" i="3"/>
  <c r="V141" i="3"/>
  <c r="X141" i="3"/>
  <c r="Y141" i="3" s="1"/>
  <c r="U142" i="3"/>
  <c r="V142" i="3"/>
  <c r="X142" i="3"/>
  <c r="Y142" i="3" s="1"/>
  <c r="U143" i="3"/>
  <c r="V143" i="3"/>
  <c r="X143" i="3"/>
  <c r="Y143" i="3" s="1"/>
  <c r="U144" i="3"/>
  <c r="V144" i="3"/>
  <c r="X144" i="3"/>
  <c r="Y144" i="3" s="1"/>
  <c r="U145" i="3"/>
  <c r="V145" i="3"/>
  <c r="X145" i="3"/>
  <c r="Y145" i="3" s="1"/>
  <c r="U146" i="3"/>
  <c r="V146" i="3"/>
  <c r="X146" i="3"/>
  <c r="Y146" i="3" s="1"/>
  <c r="U147" i="3"/>
  <c r="V147" i="3"/>
  <c r="X147" i="3"/>
  <c r="Y147" i="3" s="1"/>
  <c r="U148" i="3"/>
  <c r="V148" i="3"/>
  <c r="X148" i="3"/>
  <c r="Y148" i="3" s="1"/>
  <c r="U149" i="3"/>
  <c r="V149" i="3"/>
  <c r="X149" i="3"/>
  <c r="Y149" i="3" s="1"/>
  <c r="U150" i="3"/>
  <c r="V150" i="3"/>
  <c r="X150" i="3"/>
  <c r="Y150" i="3" s="1"/>
  <c r="U151" i="3"/>
  <c r="V151" i="3"/>
  <c r="X151" i="3"/>
  <c r="Y151" i="3" s="1"/>
  <c r="U152" i="3"/>
  <c r="V152" i="3"/>
  <c r="X152" i="3"/>
  <c r="Y152" i="3" s="1"/>
  <c r="X3" i="3"/>
  <c r="Y3" i="3" s="1"/>
  <c r="V3" i="3"/>
  <c r="U3" i="3"/>
  <c r="AA128" i="3" l="1"/>
  <c r="W87" i="3"/>
  <c r="AA87" i="3"/>
  <c r="AA66" i="3"/>
  <c r="AA5" i="3"/>
  <c r="AA140" i="3"/>
  <c r="AA130" i="3"/>
  <c r="W109" i="3"/>
  <c r="AA109" i="3" s="1"/>
  <c r="AA68" i="3"/>
  <c r="W31" i="3"/>
  <c r="AA31" i="3"/>
  <c r="W135" i="3"/>
  <c r="AA135" i="3" s="1"/>
  <c r="AA99" i="3"/>
  <c r="AA94" i="3"/>
  <c r="AA41" i="3"/>
  <c r="W36" i="3"/>
  <c r="AA36" i="3" s="1"/>
  <c r="W63" i="3"/>
  <c r="AA63" i="3"/>
  <c r="W134" i="3"/>
  <c r="AA134" i="3"/>
  <c r="W119" i="3"/>
  <c r="AA119" i="3"/>
  <c r="AA104" i="3"/>
  <c r="AA54" i="3"/>
  <c r="AA92" i="3"/>
  <c r="W150" i="3"/>
  <c r="AA150" i="3" s="1"/>
  <c r="W88" i="3"/>
  <c r="AA88" i="3" s="1"/>
  <c r="AA30" i="3"/>
  <c r="AA139" i="3"/>
  <c r="W141" i="3"/>
  <c r="AA141" i="3"/>
  <c r="AA121" i="3"/>
  <c r="W93" i="3"/>
  <c r="AA93" i="3"/>
  <c r="W64" i="3"/>
  <c r="AA64" i="3"/>
  <c r="W48" i="3"/>
  <c r="AA48" i="3" s="1"/>
  <c r="AA19" i="3"/>
  <c r="AA11" i="3"/>
  <c r="AA123" i="3"/>
  <c r="AA110" i="3"/>
  <c r="W103" i="3"/>
  <c r="AA103" i="3" s="1"/>
  <c r="AA77" i="3"/>
  <c r="AA61" i="3"/>
  <c r="W53" i="3"/>
  <c r="AA53" i="3" s="1"/>
  <c r="W32" i="3"/>
  <c r="AA32" i="3"/>
  <c r="AA24" i="3"/>
  <c r="AA8" i="3"/>
  <c r="W67" i="3"/>
  <c r="AA67" i="3" s="1"/>
  <c r="W60" i="3"/>
  <c r="AA60" i="3" s="1"/>
  <c r="W21" i="3"/>
  <c r="AA21" i="3" s="1"/>
  <c r="W133" i="3"/>
  <c r="AA133" i="3" s="1"/>
  <c r="W151" i="3"/>
  <c r="AA151" i="3" s="1"/>
  <c r="W100" i="3"/>
  <c r="AA100" i="3" s="1"/>
  <c r="W86" i="3"/>
  <c r="AA86" i="3" s="1"/>
  <c r="W5" i="3"/>
  <c r="W139" i="3"/>
  <c r="W118" i="3"/>
  <c r="AA118" i="3" s="1"/>
  <c r="W92" i="3"/>
  <c r="W35" i="3"/>
  <c r="AA35" i="3" s="1"/>
  <c r="W68" i="3"/>
  <c r="W17" i="3"/>
  <c r="AA17" i="3" s="1"/>
  <c r="W124" i="3"/>
  <c r="AA124" i="3" s="1"/>
  <c r="W51" i="3"/>
  <c r="AA51" i="3" s="1"/>
  <c r="W19" i="3"/>
  <c r="Y129" i="3"/>
  <c r="AA129" i="3" s="1"/>
  <c r="Y128" i="3"/>
  <c r="W138" i="3"/>
  <c r="AA138" i="3" s="1"/>
  <c r="W127" i="3"/>
  <c r="AA127" i="3" s="1"/>
  <c r="W114" i="3"/>
  <c r="AA114" i="3" s="1"/>
  <c r="W144" i="3"/>
  <c r="AA144" i="3" s="1"/>
  <c r="W120" i="3"/>
  <c r="AA120" i="3" s="1"/>
  <c r="W111" i="3"/>
  <c r="AA111" i="3" s="1"/>
  <c r="W95" i="3"/>
  <c r="AA95" i="3" s="1"/>
  <c r="W89" i="3"/>
  <c r="AA89" i="3" s="1"/>
  <c r="W83" i="3"/>
  <c r="AA83" i="3" s="1"/>
  <c r="W78" i="3"/>
  <c r="AA78" i="3" s="1"/>
  <c r="W71" i="3"/>
  <c r="AA71" i="3" s="1"/>
  <c r="W49" i="3"/>
  <c r="AA49" i="3" s="1"/>
  <c r="W24" i="3"/>
  <c r="W8" i="3"/>
  <c r="W129" i="3"/>
  <c r="W91" i="3"/>
  <c r="AA91" i="3" s="1"/>
  <c r="W80" i="3"/>
  <c r="AA80" i="3" s="1"/>
  <c r="W58" i="3"/>
  <c r="AA58" i="3" s="1"/>
  <c r="W40" i="3"/>
  <c r="AA40" i="3" s="1"/>
  <c r="W10" i="3"/>
  <c r="AA10" i="3" s="1"/>
  <c r="W122" i="3"/>
  <c r="AA122" i="3" s="1"/>
  <c r="W146" i="3"/>
  <c r="AA146" i="3" s="1"/>
  <c r="W113" i="3"/>
  <c r="AA113" i="3" s="1"/>
  <c r="W97" i="3"/>
  <c r="AA97" i="3" s="1"/>
  <c r="W73" i="3"/>
  <c r="AA73" i="3" s="1"/>
  <c r="W62" i="3"/>
  <c r="AA62" i="3" s="1"/>
  <c r="W55" i="3"/>
  <c r="AA55" i="3" s="1"/>
  <c r="W42" i="3"/>
  <c r="AA42" i="3" s="1"/>
  <c r="W33" i="3"/>
  <c r="AA33" i="3" s="1"/>
  <c r="W26" i="3"/>
  <c r="AA26" i="3" s="1"/>
  <c r="W12" i="3"/>
  <c r="AA12" i="3" s="1"/>
  <c r="W137" i="3"/>
  <c r="AA137" i="3" s="1"/>
  <c r="W131" i="3"/>
  <c r="AA131" i="3" s="1"/>
  <c r="W106" i="3"/>
  <c r="AA106" i="3" s="1"/>
  <c r="W82" i="3"/>
  <c r="AA82" i="3" s="1"/>
  <c r="W75" i="3"/>
  <c r="AA75" i="3" s="1"/>
  <c r="W70" i="3"/>
  <c r="AA70" i="3" s="1"/>
  <c r="W66" i="3"/>
  <c r="W46" i="3"/>
  <c r="AA46" i="3" s="1"/>
  <c r="W37" i="3"/>
  <c r="AA37" i="3" s="1"/>
  <c r="W14" i="3"/>
  <c r="AA14" i="3" s="1"/>
  <c r="W152" i="3"/>
  <c r="AA152" i="3" s="1"/>
  <c r="W128" i="3"/>
  <c r="W115" i="3"/>
  <c r="AA115" i="3" s="1"/>
  <c r="W110" i="3"/>
  <c r="W99" i="3"/>
  <c r="W57" i="3"/>
  <c r="AA57" i="3" s="1"/>
  <c r="W50" i="3"/>
  <c r="AA50" i="3" s="1"/>
  <c r="W39" i="3"/>
  <c r="AA39" i="3" s="1"/>
  <c r="W28" i="3"/>
  <c r="AA28" i="3" s="1"/>
  <c r="W16" i="3"/>
  <c r="AA16" i="3" s="1"/>
  <c r="W7" i="3"/>
  <c r="AA7" i="3" s="1"/>
  <c r="W145" i="3"/>
  <c r="AA145" i="3" s="1"/>
  <c r="W123" i="3"/>
  <c r="W121" i="3"/>
  <c r="W112" i="3"/>
  <c r="AA112" i="3" s="1"/>
  <c r="W90" i="3"/>
  <c r="AA90" i="3" s="1"/>
  <c r="W72" i="3"/>
  <c r="AA72" i="3" s="1"/>
  <c r="W59" i="3"/>
  <c r="AA59" i="3" s="1"/>
  <c r="W18" i="3"/>
  <c r="AA18" i="3" s="1"/>
  <c r="W9" i="3"/>
  <c r="AA9" i="3" s="1"/>
  <c r="W147" i="3"/>
  <c r="AA147" i="3" s="1"/>
  <c r="W142" i="3"/>
  <c r="AA142" i="3" s="1"/>
  <c r="W136" i="3"/>
  <c r="AA136" i="3" s="1"/>
  <c r="W130" i="3"/>
  <c r="W125" i="3"/>
  <c r="AA125" i="3" s="1"/>
  <c r="W105" i="3"/>
  <c r="AA105" i="3" s="1"/>
  <c r="W81" i="3"/>
  <c r="AA81" i="3" s="1"/>
  <c r="W74" i="3"/>
  <c r="AA74" i="3" s="1"/>
  <c r="W65" i="3"/>
  <c r="AA65" i="3" s="1"/>
  <c r="W54" i="3"/>
  <c r="W41" i="3"/>
  <c r="W30" i="3"/>
  <c r="W20" i="3"/>
  <c r="AA20" i="3" s="1"/>
  <c r="W11" i="3"/>
  <c r="W4" i="3"/>
  <c r="AA4" i="3" s="1"/>
  <c r="W107" i="3"/>
  <c r="AA107" i="3" s="1"/>
  <c r="W98" i="3"/>
  <c r="AA98" i="3" s="1"/>
  <c r="W69" i="3"/>
  <c r="AA69" i="3" s="1"/>
  <c r="W56" i="3"/>
  <c r="AA56" i="3" s="1"/>
  <c r="W47" i="3"/>
  <c r="AA47" i="3" s="1"/>
  <c r="W45" i="3"/>
  <c r="AA45" i="3" s="1"/>
  <c r="W43" i="3"/>
  <c r="AA43" i="3" s="1"/>
  <c r="W38" i="3"/>
  <c r="AA38" i="3" s="1"/>
  <c r="W34" i="3"/>
  <c r="AA34" i="3" s="1"/>
  <c r="W27" i="3"/>
  <c r="AA27" i="3" s="1"/>
  <c r="W22" i="3"/>
  <c r="AA22" i="3" s="1"/>
  <c r="W15" i="3"/>
  <c r="W6" i="3"/>
  <c r="AA6" i="3" s="1"/>
  <c r="W3" i="3"/>
  <c r="AA3" i="3" s="1"/>
  <c r="W149" i="3"/>
  <c r="AA149" i="3" s="1"/>
  <c r="W108" i="3"/>
  <c r="AA108" i="3" s="1"/>
  <c r="W102" i="3"/>
  <c r="AA102" i="3" s="1"/>
  <c r="W76" i="3"/>
  <c r="AA76" i="3" s="1"/>
  <c r="W61" i="3"/>
  <c r="W44" i="3"/>
  <c r="AA44" i="3" s="1"/>
  <c r="W29" i="3"/>
  <c r="AA29" i="3" s="1"/>
  <c r="W25" i="3"/>
  <c r="AA25" i="3" s="1"/>
  <c r="W143" i="3"/>
  <c r="AA143" i="3" s="1"/>
  <c r="W132" i="3"/>
  <c r="AA132" i="3" s="1"/>
  <c r="W126" i="3"/>
  <c r="AA126" i="3" s="1"/>
  <c r="W117" i="3"/>
  <c r="AA117" i="3" s="1"/>
  <c r="W96" i="3"/>
  <c r="AA96" i="3" s="1"/>
  <c r="W85" i="3"/>
  <c r="AA85" i="3" s="1"/>
  <c r="W79" i="3"/>
  <c r="AA79" i="3" s="1"/>
  <c r="W23" i="3"/>
  <c r="AA23" i="3" s="1"/>
  <c r="Y15" i="3"/>
  <c r="AA15" i="3" s="1"/>
  <c r="W13" i="3"/>
  <c r="AA13" i="3" s="1"/>
  <c r="W148" i="3"/>
  <c r="AA148" i="3" s="1"/>
  <c r="W101" i="3"/>
  <c r="AA101" i="3" s="1"/>
  <c r="W116" i="3"/>
  <c r="AA116" i="3" s="1"/>
  <c r="W84" i="3"/>
  <c r="AA84" i="3" s="1"/>
  <c r="W52" i="3"/>
  <c r="AA52" i="3" s="1"/>
  <c r="H4" i="3"/>
  <c r="F3" i="3"/>
  <c r="H3" i="3" s="1"/>
  <c r="F4" i="3"/>
  <c r="F5" i="3"/>
  <c r="H5" i="3" s="1"/>
  <c r="F6" i="3"/>
  <c r="H6" i="3" s="1"/>
  <c r="F7" i="3"/>
  <c r="H7" i="3" s="1"/>
  <c r="F8" i="3"/>
  <c r="H8" i="3" s="1"/>
  <c r="F9" i="3"/>
  <c r="H9" i="3" s="1"/>
  <c r="F10" i="3"/>
  <c r="H10" i="3" s="1"/>
  <c r="F11" i="3"/>
  <c r="H11" i="3" s="1"/>
  <c r="F12" i="3"/>
  <c r="H12" i="3" s="1"/>
  <c r="F13" i="3"/>
  <c r="H13" i="3" s="1"/>
  <c r="F14" i="3"/>
  <c r="H14" i="3" s="1"/>
  <c r="F15" i="3"/>
  <c r="H15" i="3" s="1"/>
  <c r="F16" i="3"/>
  <c r="H16" i="3" s="1"/>
  <c r="F17" i="3"/>
  <c r="H17" i="3" s="1"/>
  <c r="F18" i="3"/>
  <c r="H18" i="3" s="1"/>
  <c r="F19" i="3"/>
  <c r="H19" i="3" s="1"/>
  <c r="F20" i="3"/>
  <c r="H20" i="3" s="1"/>
  <c r="F21" i="3"/>
  <c r="H21" i="3" s="1"/>
  <c r="F22" i="3"/>
  <c r="H22" i="3" s="1"/>
  <c r="F23" i="3"/>
  <c r="H23" i="3" s="1"/>
  <c r="F24" i="3"/>
  <c r="H24" i="3" s="1"/>
  <c r="F25" i="3"/>
  <c r="H25" i="3" s="1"/>
  <c r="F26" i="3"/>
  <c r="H26" i="3" s="1"/>
  <c r="F27" i="3"/>
  <c r="H27" i="3" s="1"/>
  <c r="F28" i="3"/>
  <c r="H28" i="3" s="1"/>
  <c r="F29" i="3"/>
  <c r="H29" i="3" s="1"/>
  <c r="F30" i="3"/>
  <c r="H30" i="3" s="1"/>
  <c r="F31" i="3"/>
  <c r="H31" i="3" s="1"/>
  <c r="F32" i="3"/>
  <c r="H32" i="3" s="1"/>
  <c r="F33" i="3"/>
  <c r="H33" i="3" s="1"/>
  <c r="F34" i="3"/>
  <c r="H34" i="3" s="1"/>
  <c r="F35" i="3"/>
  <c r="H35" i="3" s="1"/>
  <c r="F36" i="3"/>
  <c r="H36" i="3" s="1"/>
  <c r="F37" i="3"/>
  <c r="H37" i="3" s="1"/>
  <c r="F38" i="3"/>
  <c r="H38" i="3" s="1"/>
  <c r="F39" i="3"/>
  <c r="H39" i="3" s="1"/>
  <c r="F40" i="3"/>
  <c r="H40" i="3" s="1"/>
  <c r="F41" i="3"/>
  <c r="H41" i="3" s="1"/>
  <c r="F42" i="3"/>
  <c r="H42" i="3" s="1"/>
  <c r="F43" i="3"/>
  <c r="H43" i="3" s="1"/>
  <c r="F44" i="3"/>
  <c r="H44" i="3" s="1"/>
  <c r="F45" i="3"/>
  <c r="H45" i="3" s="1"/>
  <c r="F46" i="3"/>
  <c r="H46" i="3" s="1"/>
  <c r="F47" i="3"/>
  <c r="H47" i="3" s="1"/>
  <c r="F48" i="3"/>
  <c r="H48" i="3" s="1"/>
  <c r="F49" i="3"/>
  <c r="H49" i="3" s="1"/>
  <c r="F50" i="3"/>
  <c r="H50" i="3" s="1"/>
  <c r="F51" i="3"/>
  <c r="H51" i="3" s="1"/>
  <c r="F52" i="3"/>
  <c r="H52" i="3" s="1"/>
  <c r="F53" i="3"/>
  <c r="H53" i="3" s="1"/>
  <c r="F54" i="3"/>
  <c r="H54" i="3" s="1"/>
  <c r="F55" i="3"/>
  <c r="H55" i="3" s="1"/>
  <c r="F56" i="3"/>
  <c r="H56" i="3" s="1"/>
  <c r="F57" i="3"/>
  <c r="H57" i="3" s="1"/>
  <c r="F58" i="3"/>
  <c r="H58" i="3" s="1"/>
  <c r="F59" i="3"/>
  <c r="H59" i="3" s="1"/>
  <c r="F60" i="3"/>
  <c r="H60" i="3" s="1"/>
  <c r="F61" i="3"/>
  <c r="H61" i="3" s="1"/>
  <c r="F62" i="3"/>
  <c r="H62" i="3" s="1"/>
  <c r="F63" i="3"/>
  <c r="H63" i="3" s="1"/>
  <c r="F64" i="3"/>
  <c r="H64" i="3" s="1"/>
  <c r="F65" i="3"/>
  <c r="H65" i="3" s="1"/>
  <c r="F66" i="3"/>
  <c r="H66" i="3" s="1"/>
  <c r="F67" i="3"/>
  <c r="H67" i="3" s="1"/>
  <c r="F68" i="3"/>
  <c r="H68" i="3" s="1"/>
  <c r="F69" i="3"/>
  <c r="H69" i="3" s="1"/>
  <c r="F70" i="3"/>
  <c r="H70" i="3" s="1"/>
  <c r="F71" i="3"/>
  <c r="H71" i="3" s="1"/>
  <c r="F72" i="3"/>
  <c r="H72" i="3" s="1"/>
  <c r="F73" i="3"/>
  <c r="H73" i="3" s="1"/>
  <c r="F74" i="3"/>
  <c r="H74" i="3" s="1"/>
  <c r="F75" i="3"/>
  <c r="H75" i="3" s="1"/>
  <c r="F76" i="3"/>
  <c r="H76" i="3" s="1"/>
  <c r="F77" i="3"/>
  <c r="H77" i="3" s="1"/>
  <c r="F78" i="3"/>
  <c r="H78" i="3" s="1"/>
  <c r="F79" i="3"/>
  <c r="H79" i="3" s="1"/>
  <c r="F80" i="3"/>
  <c r="H80" i="3" s="1"/>
  <c r="F81" i="3"/>
  <c r="H81" i="3" s="1"/>
  <c r="F82" i="3"/>
  <c r="H82" i="3" s="1"/>
  <c r="F83" i="3"/>
  <c r="H83" i="3" s="1"/>
  <c r="F84" i="3"/>
  <c r="H84" i="3" s="1"/>
  <c r="F85" i="3"/>
  <c r="H85" i="3" s="1"/>
  <c r="F86" i="3"/>
  <c r="H86" i="3" s="1"/>
  <c r="F87" i="3"/>
  <c r="H87" i="3" s="1"/>
  <c r="F88" i="3"/>
  <c r="H88" i="3" s="1"/>
  <c r="F89" i="3"/>
  <c r="H89" i="3" s="1"/>
  <c r="F90" i="3"/>
  <c r="H90" i="3" s="1"/>
  <c r="F91" i="3"/>
  <c r="H91" i="3" s="1"/>
  <c r="F92" i="3"/>
  <c r="H92" i="3" s="1"/>
  <c r="F93" i="3"/>
  <c r="H93" i="3" s="1"/>
  <c r="F94" i="3"/>
  <c r="H94" i="3" s="1"/>
  <c r="F95" i="3"/>
  <c r="H95" i="3" s="1"/>
  <c r="F96" i="3"/>
  <c r="H96" i="3" s="1"/>
  <c r="F97" i="3"/>
  <c r="H97" i="3" s="1"/>
  <c r="F98" i="3"/>
  <c r="H98" i="3" s="1"/>
  <c r="F99" i="3"/>
  <c r="H99" i="3" s="1"/>
  <c r="F100" i="3"/>
  <c r="H100" i="3" s="1"/>
  <c r="F101" i="3"/>
  <c r="H101" i="3" s="1"/>
  <c r="F102" i="3"/>
  <c r="H102" i="3" s="1"/>
  <c r="F103" i="3"/>
  <c r="H103" i="3" s="1"/>
  <c r="F104" i="3"/>
  <c r="H104" i="3" s="1"/>
  <c r="F105" i="3"/>
  <c r="H105" i="3" s="1"/>
  <c r="F106" i="3"/>
  <c r="H106" i="3" s="1"/>
  <c r="F107" i="3"/>
  <c r="H107" i="3" s="1"/>
  <c r="F108" i="3"/>
  <c r="H108" i="3" s="1"/>
  <c r="F109" i="3"/>
  <c r="H109" i="3" s="1"/>
  <c r="F110" i="3"/>
  <c r="H110" i="3" s="1"/>
  <c r="F111" i="3"/>
  <c r="H111" i="3" s="1"/>
  <c r="F112" i="3"/>
  <c r="H112" i="3" s="1"/>
  <c r="F113" i="3"/>
  <c r="H113" i="3" s="1"/>
  <c r="F114" i="3"/>
  <c r="H114" i="3" s="1"/>
  <c r="F115" i="3"/>
  <c r="H115" i="3" s="1"/>
  <c r="F116" i="3"/>
  <c r="H116" i="3" s="1"/>
  <c r="F117" i="3"/>
  <c r="H117" i="3" s="1"/>
  <c r="F118" i="3"/>
  <c r="H118" i="3" s="1"/>
  <c r="F119" i="3"/>
  <c r="H119" i="3" s="1"/>
  <c r="F120" i="3"/>
  <c r="H120" i="3" s="1"/>
  <c r="F121" i="3"/>
  <c r="H121" i="3" s="1"/>
  <c r="F122" i="3"/>
  <c r="H122" i="3" s="1"/>
  <c r="F123" i="3"/>
  <c r="H123" i="3" s="1"/>
  <c r="F124" i="3"/>
  <c r="H124" i="3" s="1"/>
  <c r="F125" i="3"/>
  <c r="H125" i="3" s="1"/>
  <c r="F126" i="3"/>
  <c r="H126" i="3" s="1"/>
  <c r="F127" i="3"/>
  <c r="H127" i="3" s="1"/>
  <c r="F128" i="3"/>
  <c r="H128" i="3" s="1"/>
  <c r="F129" i="3"/>
  <c r="H129" i="3" s="1"/>
  <c r="F130" i="3"/>
  <c r="H130" i="3" s="1"/>
  <c r="F131" i="3"/>
  <c r="H131" i="3" s="1"/>
  <c r="F132" i="3"/>
  <c r="H132" i="3" s="1"/>
  <c r="F133" i="3"/>
  <c r="H133" i="3" s="1"/>
  <c r="F134" i="3"/>
  <c r="H134" i="3" s="1"/>
  <c r="F135" i="3"/>
  <c r="H135" i="3" s="1"/>
  <c r="F136" i="3"/>
  <c r="H136" i="3" s="1"/>
  <c r="F137" i="3"/>
  <c r="H137" i="3" s="1"/>
  <c r="F138" i="3"/>
  <c r="H138" i="3" s="1"/>
  <c r="F139" i="3"/>
  <c r="H139" i="3" s="1"/>
  <c r="F140" i="3"/>
  <c r="H140" i="3" s="1"/>
  <c r="F141" i="3"/>
  <c r="H141" i="3" s="1"/>
  <c r="F142" i="3"/>
  <c r="H142" i="3" s="1"/>
  <c r="F143" i="3"/>
  <c r="H143" i="3" s="1"/>
  <c r="F144" i="3"/>
  <c r="H144" i="3" s="1"/>
  <c r="F145" i="3"/>
  <c r="H145" i="3" s="1"/>
  <c r="F146" i="3"/>
  <c r="H146" i="3" s="1"/>
  <c r="F147" i="3"/>
  <c r="H147" i="3" s="1"/>
  <c r="F148" i="3"/>
  <c r="H148" i="3" s="1"/>
  <c r="F149" i="3"/>
  <c r="H149" i="3" s="1"/>
  <c r="F150" i="3"/>
  <c r="H150" i="3" s="1"/>
  <c r="F151" i="3"/>
  <c r="H151" i="3" s="1"/>
  <c r="F152" i="3"/>
  <c r="H152" i="3" s="1"/>
  <c r="A3" i="2"/>
  <c r="D3" i="2"/>
  <c r="A4" i="2"/>
  <c r="D4" i="2"/>
  <c r="A5" i="2"/>
  <c r="D5" i="2"/>
  <c r="A6" i="2"/>
  <c r="D6" i="2"/>
  <c r="A7" i="2"/>
  <c r="D7" i="2"/>
  <c r="A8" i="2"/>
  <c r="D8" i="2"/>
  <c r="A9" i="2"/>
  <c r="D9" i="2"/>
  <c r="A10" i="2"/>
  <c r="D10" i="2"/>
  <c r="A11" i="2"/>
  <c r="D11" i="2"/>
  <c r="A12" i="2"/>
  <c r="D12" i="2"/>
  <c r="A13" i="2"/>
  <c r="D13" i="2"/>
  <c r="A14" i="2"/>
  <c r="D14" i="2"/>
  <c r="A15" i="2"/>
  <c r="D15" i="2"/>
  <c r="A16" i="2"/>
  <c r="D16" i="2"/>
  <c r="A17" i="2"/>
  <c r="D17" i="2"/>
  <c r="A18" i="2"/>
  <c r="D18" i="2"/>
  <c r="A19" i="2"/>
  <c r="D19" i="2"/>
  <c r="A20" i="2"/>
  <c r="D20" i="2"/>
  <c r="A21" i="2"/>
  <c r="D21" i="2"/>
  <c r="A22" i="2"/>
  <c r="D22" i="2"/>
  <c r="A23" i="2"/>
  <c r="D23" i="2"/>
  <c r="A24" i="2"/>
  <c r="D24" i="2"/>
  <c r="A25" i="2"/>
  <c r="D25" i="2"/>
  <c r="A26" i="2"/>
  <c r="D26" i="2"/>
  <c r="A27" i="2"/>
  <c r="D27" i="2"/>
  <c r="A28" i="2"/>
  <c r="D28" i="2"/>
  <c r="A29" i="2"/>
  <c r="D29" i="2"/>
  <c r="A30" i="2"/>
  <c r="D30" i="2"/>
  <c r="A31" i="2"/>
  <c r="D31" i="2"/>
  <c r="A32" i="2"/>
  <c r="D32" i="2"/>
  <c r="A33" i="2"/>
  <c r="D33" i="2"/>
  <c r="A34" i="2"/>
  <c r="D34" i="2"/>
  <c r="A35" i="2"/>
  <c r="D35" i="2"/>
  <c r="A36" i="2"/>
  <c r="D36" i="2"/>
  <c r="A37" i="2"/>
  <c r="D37" i="2"/>
  <c r="A38" i="2"/>
  <c r="D38" i="2"/>
  <c r="A39" i="2"/>
  <c r="D39" i="2"/>
  <c r="A40" i="2"/>
  <c r="D40" i="2"/>
  <c r="A41" i="2"/>
  <c r="D41" i="2"/>
  <c r="A42" i="2"/>
  <c r="D42" i="2"/>
  <c r="A43" i="2"/>
  <c r="D43" i="2"/>
  <c r="A44" i="2"/>
  <c r="D44" i="2"/>
  <c r="A45" i="2"/>
  <c r="D45" i="2"/>
  <c r="A46" i="2"/>
  <c r="D46" i="2"/>
  <c r="A47" i="2"/>
  <c r="D47" i="2"/>
  <c r="A48" i="2"/>
  <c r="D48" i="2"/>
  <c r="A49" i="2"/>
  <c r="D49" i="2"/>
  <c r="A50" i="2"/>
  <c r="D50" i="2"/>
  <c r="A51" i="2"/>
  <c r="D51" i="2"/>
  <c r="A52" i="2"/>
  <c r="D52" i="2"/>
  <c r="A53" i="2"/>
  <c r="D53" i="2"/>
  <c r="A54" i="2"/>
  <c r="D54" i="2"/>
  <c r="A55" i="2"/>
  <c r="D55" i="2"/>
  <c r="A56" i="2"/>
  <c r="D56" i="2"/>
  <c r="A57" i="2"/>
  <c r="D57" i="2"/>
  <c r="A58" i="2"/>
  <c r="D58" i="2"/>
  <c r="A59" i="2"/>
  <c r="D59" i="2"/>
  <c r="A60" i="2"/>
  <c r="D60" i="2"/>
  <c r="A61" i="2"/>
  <c r="D61" i="2"/>
  <c r="A62" i="2"/>
  <c r="D62" i="2"/>
  <c r="A63" i="2"/>
  <c r="D63" i="2"/>
  <c r="A64" i="2"/>
  <c r="D64" i="2"/>
  <c r="A65" i="2"/>
  <c r="D65" i="2"/>
  <c r="A66" i="2"/>
  <c r="D66" i="2"/>
  <c r="A67" i="2"/>
  <c r="D67" i="2"/>
  <c r="A68" i="2"/>
  <c r="D68" i="2"/>
  <c r="A69" i="2"/>
  <c r="D69" i="2"/>
  <c r="A70" i="2"/>
  <c r="D70" i="2"/>
  <c r="A71" i="2"/>
  <c r="D71" i="2"/>
  <c r="A72" i="2"/>
  <c r="D72" i="2"/>
  <c r="A73" i="2"/>
  <c r="D73" i="2"/>
  <c r="A74" i="2"/>
  <c r="D74" i="2"/>
  <c r="A75" i="2"/>
  <c r="D75" i="2"/>
  <c r="A76" i="2"/>
  <c r="D76" i="2"/>
  <c r="A77" i="2"/>
  <c r="D77" i="2"/>
  <c r="A78" i="2"/>
  <c r="D78" i="2"/>
  <c r="A79" i="2"/>
  <c r="D79" i="2"/>
  <c r="A80" i="2"/>
  <c r="D80" i="2"/>
  <c r="A81" i="2"/>
  <c r="D81" i="2"/>
  <c r="A82" i="2"/>
  <c r="D82" i="2"/>
  <c r="A83" i="2"/>
  <c r="D83" i="2"/>
  <c r="A84" i="2"/>
  <c r="D84" i="2"/>
  <c r="A85" i="2"/>
  <c r="D85" i="2"/>
  <c r="A86" i="2"/>
  <c r="D86" i="2"/>
  <c r="A87" i="2"/>
  <c r="D87" i="2"/>
  <c r="A88" i="2"/>
  <c r="D88" i="2"/>
  <c r="A89" i="2"/>
  <c r="D89" i="2"/>
  <c r="A90" i="2"/>
  <c r="D90" i="2"/>
  <c r="A91" i="2"/>
  <c r="D91" i="2"/>
  <c r="A92" i="2"/>
  <c r="D92" i="2"/>
  <c r="A93" i="2"/>
  <c r="D93" i="2"/>
  <c r="A94" i="2"/>
  <c r="D94" i="2"/>
  <c r="A95" i="2"/>
  <c r="D95" i="2"/>
  <c r="A96" i="2"/>
  <c r="D96" i="2"/>
  <c r="A97" i="2"/>
  <c r="D97" i="2"/>
  <c r="A98" i="2"/>
  <c r="D98" i="2"/>
  <c r="A99" i="2"/>
  <c r="D99" i="2"/>
  <c r="A100" i="2"/>
  <c r="D100" i="2"/>
  <c r="A101" i="2"/>
  <c r="D101" i="2"/>
  <c r="A102" i="2"/>
  <c r="D102" i="2"/>
  <c r="A103" i="2"/>
  <c r="D103" i="2"/>
  <c r="A104" i="2"/>
  <c r="D104" i="2"/>
  <c r="A105" i="2"/>
  <c r="D105" i="2"/>
  <c r="A106" i="2"/>
  <c r="D106" i="2"/>
  <c r="A107" i="2"/>
  <c r="D107" i="2"/>
  <c r="A108" i="2"/>
  <c r="D108" i="2"/>
  <c r="A109" i="2"/>
  <c r="D109" i="2"/>
  <c r="A110" i="2"/>
  <c r="D110" i="2"/>
  <c r="A111" i="2"/>
  <c r="D111" i="2"/>
  <c r="A112" i="2"/>
  <c r="D112" i="2"/>
  <c r="A113" i="2"/>
  <c r="D113" i="2"/>
  <c r="A114" i="2"/>
  <c r="D114" i="2"/>
  <c r="A115" i="2"/>
  <c r="D115" i="2"/>
  <c r="A116" i="2"/>
  <c r="D116" i="2"/>
  <c r="A117" i="2"/>
  <c r="D117" i="2"/>
  <c r="A118" i="2"/>
  <c r="D118" i="2"/>
  <c r="A119" i="2"/>
  <c r="D119" i="2"/>
  <c r="A120" i="2"/>
  <c r="D120" i="2"/>
  <c r="A121" i="2"/>
  <c r="D121" i="2"/>
  <c r="A122" i="2"/>
  <c r="D122" i="2"/>
  <c r="A123" i="2"/>
  <c r="D123" i="2"/>
  <c r="A124" i="2"/>
  <c r="D124" i="2"/>
  <c r="A125" i="2"/>
  <c r="D125" i="2"/>
  <c r="A126" i="2"/>
  <c r="D126" i="2"/>
  <c r="A127" i="2"/>
  <c r="D127" i="2"/>
  <c r="A128" i="2"/>
  <c r="D128" i="2"/>
  <c r="A129" i="2"/>
  <c r="D129" i="2"/>
  <c r="A130" i="2"/>
  <c r="D130" i="2"/>
  <c r="A131" i="2"/>
  <c r="D131" i="2"/>
  <c r="A132" i="2"/>
  <c r="D132" i="2"/>
  <c r="A133" i="2"/>
  <c r="D133" i="2"/>
  <c r="A134" i="2"/>
  <c r="D134" i="2"/>
  <c r="A135" i="2"/>
  <c r="D135" i="2"/>
  <c r="A136" i="2"/>
  <c r="D136" i="2"/>
  <c r="A137" i="2"/>
  <c r="D137" i="2"/>
  <c r="A138" i="2"/>
  <c r="D138" i="2"/>
  <c r="A139" i="2"/>
  <c r="D139" i="2"/>
  <c r="A140" i="2"/>
  <c r="D140" i="2"/>
  <c r="A141" i="2"/>
  <c r="D141" i="2"/>
  <c r="A142" i="2"/>
  <c r="D142" i="2"/>
  <c r="A143" i="2"/>
  <c r="D143" i="2"/>
  <c r="A144" i="2"/>
  <c r="D144" i="2"/>
  <c r="A145" i="2"/>
  <c r="D145" i="2"/>
  <c r="A146" i="2"/>
  <c r="D146" i="2"/>
  <c r="A147" i="2"/>
  <c r="D147" i="2"/>
  <c r="A148" i="2"/>
  <c r="D148" i="2"/>
  <c r="A149" i="2"/>
  <c r="D149" i="2"/>
  <c r="A150" i="2"/>
  <c r="D150" i="2"/>
  <c r="A151" i="2"/>
  <c r="D151" i="2"/>
  <c r="D2" i="2"/>
  <c r="A2" i="2"/>
  <c r="AC134" i="3"/>
  <c r="AC6" i="3"/>
  <c r="AC8" i="3"/>
  <c r="AC150" i="3"/>
  <c r="AC48" i="3"/>
  <c r="AC23" i="3"/>
  <c r="AC15" i="3"/>
  <c r="AC75" i="3"/>
  <c r="AC114" i="3"/>
  <c r="AC121" i="3"/>
  <c r="AC140" i="3"/>
  <c r="AC28" i="3"/>
  <c r="AC117" i="3"/>
  <c r="AC68" i="3"/>
  <c r="AC70" i="3"/>
  <c r="AC19" i="3"/>
  <c r="AC57" i="3"/>
  <c r="AC143" i="3"/>
  <c r="AC7" i="3"/>
  <c r="AC115" i="3"/>
  <c r="AC72" i="3"/>
  <c r="AC44" i="3"/>
  <c r="AC79" i="3"/>
  <c r="AC39" i="3"/>
  <c r="AC96" i="3"/>
  <c r="AC32" i="3"/>
  <c r="AC62" i="3"/>
  <c r="AC98" i="3"/>
  <c r="AC56" i="3"/>
  <c r="AC95" i="3"/>
  <c r="AC105" i="3"/>
  <c r="AC147" i="3"/>
  <c r="AC113" i="3"/>
  <c r="AC11" i="3"/>
  <c r="AC78" i="3"/>
  <c r="AC119" i="3"/>
  <c r="AC71" i="3"/>
  <c r="AC67" i="3"/>
  <c r="AC90" i="3"/>
  <c r="AC101" i="3"/>
  <c r="AC91" i="3"/>
  <c r="AC116" i="3"/>
  <c r="AC94" i="3"/>
  <c r="AC124" i="3"/>
  <c r="AC9" i="3"/>
  <c r="AC4" i="3"/>
  <c r="AC125" i="3"/>
  <c r="AC77" i="3"/>
  <c r="AC25" i="3"/>
  <c r="AC107" i="3"/>
  <c r="AC58" i="3"/>
  <c r="AC69" i="3"/>
  <c r="AC144" i="3"/>
  <c r="AC35" i="3"/>
  <c r="AC22" i="3"/>
  <c r="AC49" i="3"/>
  <c r="AC151" i="3"/>
  <c r="AC12" i="3"/>
  <c r="AC43" i="3"/>
  <c r="AC100" i="3"/>
  <c r="AC86" i="3"/>
  <c r="AC99" i="3"/>
  <c r="AC45" i="3"/>
  <c r="AC136" i="3"/>
  <c r="AC126" i="3"/>
  <c r="AC47" i="3"/>
  <c r="AC3" i="3"/>
  <c r="AC29" i="3"/>
  <c r="AC118" i="3"/>
  <c r="AC139" i="3"/>
  <c r="AC59" i="3"/>
  <c r="AC27" i="3"/>
  <c r="AC18" i="3"/>
  <c r="AC137" i="3"/>
  <c r="AC38" i="3"/>
  <c r="AC80" i="3"/>
  <c r="AC37" i="3"/>
  <c r="AC108" i="3"/>
  <c r="AC142" i="3"/>
  <c r="AC61" i="3"/>
  <c r="AC10" i="3"/>
  <c r="AC53" i="3"/>
  <c r="AC138" i="3"/>
  <c r="AC26" i="3"/>
  <c r="AC54" i="3"/>
  <c r="AC60" i="3"/>
  <c r="AC17" i="3"/>
  <c r="AC65" i="3"/>
  <c r="AC85" i="3"/>
  <c r="AC24" i="3"/>
  <c r="AC148" i="3"/>
  <c r="AC84" i="3"/>
  <c r="AC122" i="3"/>
  <c r="AC16" i="3"/>
  <c r="AC50" i="3"/>
  <c r="AC132" i="3"/>
  <c r="AC133" i="3"/>
  <c r="AC40" i="3"/>
  <c r="AC87" i="3"/>
  <c r="AC31" i="3"/>
  <c r="AC130" i="3"/>
  <c r="AC5" i="3"/>
  <c r="AC92" i="3"/>
  <c r="AC104" i="3"/>
  <c r="AC97" i="3"/>
  <c r="AC81" i="3"/>
  <c r="AC89" i="3"/>
  <c r="AC36" i="3"/>
  <c r="AC131" i="3"/>
  <c r="AC146" i="3"/>
  <c r="AC109" i="3"/>
  <c r="AC14" i="3"/>
  <c r="AC34" i="3"/>
  <c r="AC111" i="3"/>
  <c r="AC52" i="3"/>
  <c r="AC33" i="3"/>
  <c r="AC46" i="3"/>
  <c r="AC149" i="3"/>
  <c r="AC41" i="3"/>
  <c r="AC141" i="3"/>
  <c r="AC127" i="3"/>
  <c r="AC123" i="3"/>
  <c r="AC120" i="3"/>
  <c r="AC103" i="3"/>
  <c r="AC63" i="3"/>
  <c r="AC102" i="3"/>
  <c r="AC82" i="3"/>
  <c r="AC73" i="3"/>
  <c r="AC74" i="3"/>
  <c r="AC145" i="3"/>
  <c r="AC135" i="3"/>
  <c r="AC106" i="3"/>
  <c r="AC83" i="3"/>
  <c r="AC64" i="3"/>
  <c r="AC152" i="3"/>
  <c r="AC76" i="3"/>
  <c r="AC93" i="3"/>
  <c r="AC21" i="3"/>
  <c r="AC66" i="3"/>
  <c r="AC112" i="3"/>
  <c r="AC13" i="3"/>
  <c r="AC51" i="3"/>
  <c r="AC88" i="3"/>
  <c r="AC55" i="3"/>
  <c r="AC30" i="3"/>
  <c r="AC110" i="3"/>
  <c r="AC20" i="3"/>
  <c r="AC42" i="3"/>
  <c r="AD119" i="3" l="1"/>
  <c r="AD87" i="3"/>
  <c r="AD134" i="3"/>
  <c r="AD68" i="3"/>
  <c r="AD55" i="3"/>
  <c r="AD141" i="3"/>
  <c r="AD82" i="3"/>
  <c r="AD22" i="3"/>
  <c r="AD135" i="3"/>
  <c r="AD123" i="3"/>
  <c r="AD145" i="3"/>
  <c r="AD57" i="3"/>
  <c r="AD10" i="3"/>
  <c r="AD61" i="3"/>
  <c r="AD9" i="3"/>
  <c r="AD133" i="3"/>
  <c r="AD85" i="3"/>
  <c r="AD69" i="3"/>
  <c r="AD18" i="3"/>
  <c r="AD36" i="3"/>
  <c r="AD99" i="3"/>
  <c r="AD46" i="3"/>
  <c r="AD21" i="3"/>
  <c r="AD28" i="3"/>
  <c r="AD6" i="3"/>
  <c r="AD47" i="3"/>
  <c r="AD52" i="3"/>
  <c r="AD31" i="3"/>
  <c r="AD110" i="3"/>
  <c r="AD8" i="3"/>
  <c r="AD17" i="3"/>
  <c r="AD108" i="3"/>
  <c r="AD60" i="3"/>
  <c r="AD35" i="3"/>
  <c r="AD48" i="3"/>
  <c r="AD89" i="3"/>
  <c r="AD125" i="3"/>
  <c r="AD94" i="3"/>
  <c r="AD11" i="3"/>
  <c r="AD117" i="3"/>
  <c r="AD34" i="3"/>
  <c r="AD92" i="3"/>
  <c r="AD25" i="3"/>
  <c r="AD50" i="3"/>
  <c r="AD53" i="3"/>
  <c r="AD138" i="3"/>
  <c r="AD51" i="3"/>
  <c r="AD102" i="3"/>
  <c r="AD122" i="3"/>
  <c r="AD140" i="3"/>
  <c r="AD143" i="3"/>
  <c r="AD5" i="3"/>
  <c r="AD71" i="3"/>
  <c r="AD59" i="3"/>
  <c r="AD100" i="3"/>
  <c r="AD16" i="3"/>
  <c r="AD150" i="3"/>
  <c r="AD130" i="3"/>
  <c r="AD137" i="3"/>
  <c r="AD148" i="3"/>
  <c r="AD12" i="3"/>
  <c r="AD142" i="3"/>
  <c r="AD14" i="3"/>
  <c r="AD7" i="3"/>
  <c r="AD37" i="3"/>
  <c r="AD97" i="3"/>
  <c r="AD107" i="3"/>
  <c r="AD72" i="3"/>
  <c r="AD146" i="3"/>
  <c r="AD79" i="3"/>
  <c r="AD32" i="3"/>
  <c r="AD24" i="3"/>
  <c r="AD80" i="3"/>
  <c r="AD78" i="3"/>
  <c r="AD91" i="3"/>
  <c r="AD13" i="3"/>
  <c r="AD151" i="3"/>
  <c r="AD93" i="3"/>
  <c r="AD49" i="3"/>
  <c r="AD58" i="3"/>
  <c r="AD83" i="3"/>
  <c r="AD84" i="3"/>
  <c r="AD132" i="3"/>
  <c r="AD114" i="3"/>
  <c r="AD23" i="3"/>
  <c r="AD30" i="3"/>
  <c r="AD96" i="3"/>
  <c r="AD42" i="3"/>
  <c r="AD54" i="3"/>
  <c r="AD66" i="3"/>
  <c r="AD64" i="3"/>
  <c r="AD62" i="3"/>
  <c r="AD56" i="3"/>
  <c r="AD86" i="3"/>
  <c r="AD27" i="3"/>
  <c r="AD76" i="3"/>
  <c r="AD44" i="3"/>
  <c r="AD115" i="3"/>
  <c r="AD120" i="3"/>
  <c r="AD98" i="3"/>
  <c r="AD147" i="3"/>
  <c r="AD105" i="3"/>
  <c r="AD65" i="3"/>
  <c r="AD131" i="3"/>
  <c r="AD136" i="3"/>
  <c r="AD144" i="3"/>
  <c r="AD149" i="3"/>
  <c r="AD43" i="3"/>
  <c r="AD41" i="3"/>
  <c r="AD103" i="3"/>
  <c r="AD104" i="3"/>
  <c r="AD33" i="3"/>
  <c r="AD101" i="3"/>
  <c r="AD109" i="3"/>
  <c r="AD29" i="3"/>
  <c r="AD74" i="3"/>
  <c r="AD20" i="3"/>
  <c r="AD127" i="3"/>
  <c r="AD70" i="3"/>
  <c r="AD118" i="3"/>
  <c r="AD26" i="3"/>
  <c r="AD111" i="3"/>
  <c r="AD90" i="3"/>
  <c r="AD19" i="3"/>
  <c r="AD121" i="3"/>
  <c r="AD126" i="3"/>
  <c r="AD152" i="3"/>
  <c r="AD112" i="3"/>
  <c r="AD95" i="3"/>
  <c r="AD139" i="3"/>
  <c r="AD116" i="3"/>
  <c r="AD88" i="3"/>
  <c r="AD39" i="3"/>
  <c r="AD81" i="3"/>
  <c r="AD73" i="3"/>
  <c r="AD40" i="3"/>
  <c r="AD124" i="3"/>
  <c r="AD113" i="3"/>
  <c r="AD77" i="3"/>
  <c r="AD67" i="3"/>
  <c r="AD45" i="3"/>
  <c r="AD63" i="3"/>
  <c r="AD106" i="3"/>
  <c r="AD75" i="3"/>
  <c r="AD15" i="3"/>
  <c r="AD38" i="3"/>
  <c r="AD4" i="3"/>
  <c r="AD3" i="3"/>
  <c r="AC129" i="3"/>
  <c r="AC128" i="3"/>
  <c r="AD129" i="3" l="1"/>
  <c r="AD128" i="3"/>
</calcChain>
</file>

<file path=xl/comments1.xml><?xml version="1.0" encoding="utf-8"?>
<comments xmlns="http://schemas.openxmlformats.org/spreadsheetml/2006/main">
  <authors>
    <author>Ralph Avery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Query:
</t>
        </r>
        <r>
          <rPr>
            <sz val="9"/>
            <color indexed="81"/>
            <rFont val="Courier New"/>
            <family val="3"/>
          </rPr>
          <t xml:space="preserve">SELECT
    xid = x.StoreCompetitorStoreXRef, 
    Bucees = b.StoreName, 
    Competitor = c.StoreName, 
    lat1 = b.lat, 
    long1 = b.long, 
    lat2 = c.lat, 
    long2 = c.long
from store b 
inner join storecompetitorstorexref x 
on x.storeid = b.storeid 
inner join store c 
on c.storeid = x.competitorstoreid 
order by b.storenumber, c.StoreName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<sst xmlns="http://schemas.openxmlformats.org/spreadsheetml/2006/main" count="949" uniqueCount="317">
  <si>
    <t>From</t>
  </si>
  <si>
    <t>To</t>
  </si>
  <si>
    <t>Distance</t>
  </si>
  <si>
    <t>Via1</t>
  </si>
  <si>
    <t>Via2</t>
  </si>
  <si>
    <t>Time</t>
  </si>
  <si>
    <t>Either split the route into columns A, B, C and D</t>
  </si>
  <si>
    <t>or provide a | delimited list of postcodes/addresses</t>
  </si>
  <si>
    <t>Bucees_Coord</t>
  </si>
  <si>
    <t>Competitor_Coord</t>
  </si>
  <si>
    <t>29.0413056999999990,-95.4133269000000010</t>
  </si>
  <si>
    <t>29.0456212000000000,-95.4044875000000000</t>
  </si>
  <si>
    <t>StoreName</t>
  </si>
  <si>
    <t>Buc-ee`s # 001</t>
  </si>
  <si>
    <t>CST 288B</t>
  </si>
  <si>
    <t>Murphy (LJ)</t>
  </si>
  <si>
    <t>29.0454575000000000,-95.4613030000000000</t>
  </si>
  <si>
    <t>HEB</t>
  </si>
  <si>
    <t>29.0434622000000000,-95.4469269000000000</t>
  </si>
  <si>
    <t>Exxon (All Season)</t>
  </si>
  <si>
    <t>29.0400962000000000,-95.4235807000000000</t>
  </si>
  <si>
    <t>Kroger</t>
  </si>
  <si>
    <t>29.0381032000000000,-95.4229472000000000</t>
  </si>
  <si>
    <t>Buc-ee`s # 002</t>
  </si>
  <si>
    <t>29.0641070000000000,-95.4270709999999980</t>
  </si>
  <si>
    <t>CST Mall</t>
  </si>
  <si>
    <t>29.0481102000000000,-95.4652421000000000</t>
  </si>
  <si>
    <t>Citgo (Credit) Richwood</t>
  </si>
  <si>
    <t>Buc-ee`s # 003</t>
  </si>
  <si>
    <t>29.0555190000000000,-95.5724909999999990</t>
  </si>
  <si>
    <t>Buc-ee`s # 005</t>
  </si>
  <si>
    <t>29.0346809999999990,-95.5675260000000010</t>
  </si>
  <si>
    <t>Buc-ee`s # 007</t>
  </si>
  <si>
    <t>28.9812087000000000,-95.3358743000000000</t>
  </si>
  <si>
    <t>Buc-ee`s # 029</t>
  </si>
  <si>
    <t>29.0212499999999980,-95.4368589999999980</t>
  </si>
  <si>
    <t>Buc-ee`s # 008</t>
  </si>
  <si>
    <t>Phillips 66</t>
  </si>
  <si>
    <t>28.9694100000000000,-95.3706729999999960</t>
  </si>
  <si>
    <t>28.9710851000000000,-95.3733280000000000</t>
  </si>
  <si>
    <t>Stripes</t>
  </si>
  <si>
    <t>28.9686933000000000,-95.3709403000000000</t>
  </si>
  <si>
    <t>Buc-ee`s # 012</t>
  </si>
  <si>
    <t>28.6095830000000010,-96.6348978999999990</t>
  </si>
  <si>
    <t>28.6270554000000000,-96.6399649000000000</t>
  </si>
  <si>
    <t>7-Eleven Truckstop</t>
  </si>
  <si>
    <t>28.6123084000000000,-96.6450867000000000</t>
  </si>
  <si>
    <t>Murphy</t>
  </si>
  <si>
    <t>28.6329179000000000,-96.6289909000000000</t>
  </si>
  <si>
    <t>7-Eleven</t>
  </si>
  <si>
    <t>28.6375971000000000,-96.6194072000000000</t>
  </si>
  <si>
    <t>Buc-ee`s # 013</t>
  </si>
  <si>
    <t>Murphy (Ang)</t>
  </si>
  <si>
    <t>29.1848379999999990,-95.4090489999999960</t>
  </si>
  <si>
    <t>29.1830403000000000,-95.4359475000000000</t>
  </si>
  <si>
    <t>Valero - Hwy35</t>
  </si>
  <si>
    <t>29.1714390000000000,-95.4196187000000000</t>
  </si>
  <si>
    <t>Kroger (Ang)</t>
  </si>
  <si>
    <t>29.1832904000000000,-95.4322897000000000</t>
  </si>
  <si>
    <t>Buc-ee`s # 014</t>
  </si>
  <si>
    <t>TETCO</t>
  </si>
  <si>
    <t>29.4301540000000020,-95.2263669999999960</t>
  </si>
  <si>
    <t>29.4046675000000000,-95.2375375000000000</t>
  </si>
  <si>
    <t>29.4232758000000000,-95.2313217000000000</t>
  </si>
  <si>
    <t>Citgo</t>
  </si>
  <si>
    <t>29.4297042000000000,-95.2452331000000000</t>
  </si>
  <si>
    <t>Raceway</t>
  </si>
  <si>
    <t>29.3701293000000000,-95.2535997000000000</t>
  </si>
  <si>
    <t>Handi Stop Exxon</t>
  </si>
  <si>
    <t>29.4239446000000000,-95.2303351000000000</t>
  </si>
  <si>
    <t>Buc-ee`s # 015</t>
  </si>
  <si>
    <t>Circle K DSL Back</t>
  </si>
  <si>
    <t>29.5152290999999990,-97.4624484000000000</t>
  </si>
  <si>
    <t>29.5199588000000000,-97.4534596000000000</t>
  </si>
  <si>
    <t>Circle G DSL Back</t>
  </si>
  <si>
    <t>29.4723738000000000,-97.4471690000000000</t>
  </si>
  <si>
    <t>Texaco</t>
  </si>
  <si>
    <t>29.5152714000000000,-97.4594600000000000</t>
  </si>
  <si>
    <t>29.5177115000000000,-97.4527587000000000</t>
  </si>
  <si>
    <t>Buc-ee's #15 (High Flow)</t>
  </si>
  <si>
    <t>29.5145443000000000,-97.4643354000000000</t>
  </si>
  <si>
    <t>CST Valero DSL Back</t>
  </si>
  <si>
    <t>29.5203894000000000,-97.4397408000000000</t>
  </si>
  <si>
    <t>Walmart</t>
  </si>
  <si>
    <t>29.5181070000000000,-97.4509122000000000</t>
  </si>
  <si>
    <t>Valero</t>
  </si>
  <si>
    <t>29.5166450000000000,-97.4604712000000000</t>
  </si>
  <si>
    <t>Circle G (Front)</t>
  </si>
  <si>
    <t>29.4728232000000000,-97.4472578000000000</t>
  </si>
  <si>
    <t>Circle K (Front)</t>
  </si>
  <si>
    <t>29.5201128000000000,-97.4521614000000000</t>
  </si>
  <si>
    <t>CST Valero (Front)</t>
  </si>
  <si>
    <t>29.5224712000000000,-97.4390610000000000</t>
  </si>
  <si>
    <t>Buc-ee`s # 016</t>
  </si>
  <si>
    <t>Brookshire Bros</t>
  </si>
  <si>
    <t>30.1791039999999990,-96.9125391999999980</t>
  </si>
  <si>
    <t>30.1831558000000000,-96.9351029000000000</t>
  </si>
  <si>
    <t>Texaco Food Mart</t>
  </si>
  <si>
    <t>30.1765710000000000,-96.8985127000000000</t>
  </si>
  <si>
    <t>Citgo Credit</t>
  </si>
  <si>
    <t>30.1800159000000000,-96.9254504000000000</t>
  </si>
  <si>
    <t>Carmine Country Store</t>
  </si>
  <si>
    <t>30.1487469000000000,-96.6876259000000000</t>
  </si>
  <si>
    <t>30.1817563000000000,-96.9337867000000000</t>
  </si>
  <si>
    <t>Fuel Maxx</t>
  </si>
  <si>
    <t>30.1229760000000000,-96.1504735000000000</t>
  </si>
  <si>
    <t>Quick Mini Mart</t>
  </si>
  <si>
    <t>30.1809870000000000,-96.9297274000000000</t>
  </si>
  <si>
    <t>Buc-ee`s # 017</t>
  </si>
  <si>
    <t>Loves</t>
  </si>
  <si>
    <t>29.6509779999999980,-97.5924219999999990</t>
  </si>
  <si>
    <t>29.6536626000000000,-97.5944600000000000</t>
  </si>
  <si>
    <t>Buc-ee`s # 019</t>
  </si>
  <si>
    <t>Murphy - Hwy 35</t>
  </si>
  <si>
    <t>29.5605529999999990,-95.2856610000000050</t>
  </si>
  <si>
    <t>29.5730210000000000,-95.2878727000000000</t>
  </si>
  <si>
    <t>CST Hwy 35</t>
  </si>
  <si>
    <t>29.5688532000000000,-95.2888974000000000</t>
  </si>
  <si>
    <t>Buc-ee`s # 020</t>
  </si>
  <si>
    <t>29.5801847000000000,-95.3904493000000000</t>
  </si>
  <si>
    <t>29.5831166000000000,-95.3920476000000000</t>
  </si>
  <si>
    <t>29.5591682000000000,-95.3926956000000000</t>
  </si>
  <si>
    <t>Buc-ee`s # 021</t>
  </si>
  <si>
    <t>29.1718456000000010,-95.4334417000000030</t>
  </si>
  <si>
    <t>Buc-ee`s # 023</t>
  </si>
  <si>
    <t>29.4872064999999990,-95.1074076000000020</t>
  </si>
  <si>
    <t>29.5202273000000000,-95.0767266000000000</t>
  </si>
  <si>
    <t>29.4874673000000000,-95.1047292000000000</t>
  </si>
  <si>
    <t>Murphy(League Cty)(3N)</t>
  </si>
  <si>
    <t>29.4683853000000000,-95.0899636000000000</t>
  </si>
  <si>
    <t>29.4624281000000000,-95.0956455000000000</t>
  </si>
  <si>
    <t>Buc-ee`s # 024</t>
  </si>
  <si>
    <t>B&amp;B Conoco</t>
  </si>
  <si>
    <t>29.5862109000000010,-96.3316583000000010</t>
  </si>
  <si>
    <t>29.5857656000000000,-96.3505999000000000</t>
  </si>
  <si>
    <t>J&amp;K Truck Stop (DSL)</t>
  </si>
  <si>
    <t>29.5792891000000000,-96.3231265000000000</t>
  </si>
  <si>
    <t>Shell E. Bern  Trk Stp (Friday) (DSL)</t>
  </si>
  <si>
    <t>29.7740251000000000,-96.1368882000000000</t>
  </si>
  <si>
    <t>29.5856444000000000,-96.3313415000000000</t>
  </si>
  <si>
    <t>Buc-ee's #24 (High Flow)</t>
  </si>
  <si>
    <t>29.5858699000000000,-96.3340607000000000</t>
  </si>
  <si>
    <t>J&amp;K Truck Stop (GAS)</t>
  </si>
  <si>
    <t>29.5792480000000000,-96.3230267000000000</t>
  </si>
  <si>
    <t>Shell E. Bern  Trk Stp (Friday) (GAS)</t>
  </si>
  <si>
    <t>29.5307424000000000,-96.0706097000000000</t>
  </si>
  <si>
    <t>Buc-ee`s # 025</t>
  </si>
  <si>
    <t>Chevron</t>
  </si>
  <si>
    <t>29.1638710000000000,-95.4548620000000060</t>
  </si>
  <si>
    <t>29.1633786000000000,-95.4560165000000000</t>
  </si>
  <si>
    <t>Buc-ee`s # 026</t>
  </si>
  <si>
    <t>Timewise Mobile</t>
  </si>
  <si>
    <t>30.9721459999999990,-95.8894169999999950</t>
  </si>
  <si>
    <t>30.9645522000000000,-95.8864096000000000</t>
  </si>
  <si>
    <t>Freeway Shell</t>
  </si>
  <si>
    <t>30.9647295000000000,-95.8866505000000000</t>
  </si>
  <si>
    <t>Freeway Exxon (No Store)</t>
  </si>
  <si>
    <t>30.9643750000000000,-95.8866853000000000</t>
  </si>
  <si>
    <t>Buc-ee`s # 027</t>
  </si>
  <si>
    <t>Speedy Stop</t>
  </si>
  <si>
    <t>29.2159672999999990,-96.2855181000000040</t>
  </si>
  <si>
    <t>29.2000137000000000,-96.2742597000000000</t>
  </si>
  <si>
    <t>29.1975690000000000,-96.2715557000000000</t>
  </si>
  <si>
    <t>Cheapest Other</t>
  </si>
  <si>
    <t>29.1983642000000000,-96.2925575000000000</t>
  </si>
  <si>
    <t>Stripes Credit Card</t>
  </si>
  <si>
    <t>29.1792290000000000,-96.2624672000000000</t>
  </si>
  <si>
    <t>Shell/Jack-in Box</t>
  </si>
  <si>
    <t>29.1790329000000000,-96.2602766000000000</t>
  </si>
  <si>
    <t>Buc-ee`s # 030</t>
  </si>
  <si>
    <t>29.3315030000000010,-96.1191189999999980</t>
  </si>
  <si>
    <t>29.3270623000000000,-96.1243732000000000</t>
  </si>
  <si>
    <t>Prasek`s</t>
  </si>
  <si>
    <t>29.1569553000000000,-96.3354045000000000</t>
  </si>
  <si>
    <t>Love's Credit Card</t>
  </si>
  <si>
    <t>29.3921623000000000,-96.0786186000000000</t>
  </si>
  <si>
    <t>Buc-ee`s # 031</t>
  </si>
  <si>
    <t>Timewise</t>
  </si>
  <si>
    <t>29.5548955000000010,-95.6938702000000060</t>
  </si>
  <si>
    <t>29.5584388000000000,-95.6936739000000000</t>
  </si>
  <si>
    <t>AA Food Mart #2</t>
  </si>
  <si>
    <t>29.5481032000000000,-95.6999320000000000</t>
  </si>
  <si>
    <t>29.5446672000000000,-95.6985230000000000</t>
  </si>
  <si>
    <t>Exxon/Burger King</t>
  </si>
  <si>
    <t>29.5573243000000000,-95.6941865200000000</t>
  </si>
  <si>
    <t>Buc-ee`s # 032</t>
  </si>
  <si>
    <t>Murphy - Cypress</t>
  </si>
  <si>
    <t>29.9795212999999980,-95.7170389000000060</t>
  </si>
  <si>
    <t>29.9745420000000000,-95.7013577000000000</t>
  </si>
  <si>
    <t>HEB - Cypress</t>
  </si>
  <si>
    <t>29.9912230000000000,-95.7473083000000000</t>
  </si>
  <si>
    <t>Shell Food Mart</t>
  </si>
  <si>
    <t>29.5411828000000000,-95.7093482000000000</t>
  </si>
  <si>
    <t>29.9894774000000000,-95.7396155000000000</t>
  </si>
  <si>
    <t>Buc-ee`s # 028</t>
  </si>
  <si>
    <t>HEB Gas #582</t>
  </si>
  <si>
    <t>30.2163550000000000,-97.3067320000000000</t>
  </si>
  <si>
    <t>30.1079361000000000,-97.3360557200000000</t>
  </si>
  <si>
    <t>30.1098949000000000,-97.3066931000000000</t>
  </si>
  <si>
    <t>Circle K</t>
  </si>
  <si>
    <t>30.1035100000000000,-97.2864758000000000</t>
  </si>
  <si>
    <t>30.1041014000000000,-97.3334944000000000</t>
  </si>
  <si>
    <t>Murphy(Austin)(27W)</t>
  </si>
  <si>
    <t>30.2202428000000000,-97.7550061000000000</t>
  </si>
  <si>
    <t>Buc-ee`s # 022</t>
  </si>
  <si>
    <t>Murphy USA</t>
  </si>
  <si>
    <t>29.8311140000000000,-98.0812680000000000</t>
  </si>
  <si>
    <t>29.6841883000000000,-98.1285572000000000</t>
  </si>
  <si>
    <t>Exxon TX Best</t>
  </si>
  <si>
    <t>29.6752202000000000,-98.1545534000000000</t>
  </si>
  <si>
    <t>Pilot</t>
  </si>
  <si>
    <t>29.6762810000000000,-98.1581520000000000</t>
  </si>
  <si>
    <t>HEB 306</t>
  </si>
  <si>
    <t>29.7310240000000000,-98.0794999000000000</t>
  </si>
  <si>
    <t>Murphy(Georgetown)(37S)</t>
  </si>
  <si>
    <t>30.6449516000000000,-97.6914371000000000</t>
  </si>
  <si>
    <t>Buc-ee`s # 018</t>
  </si>
  <si>
    <t>30.1593770000000000,-95.9114680000000000</t>
  </si>
  <si>
    <t>Irv's Field Store</t>
  </si>
  <si>
    <t>30.0669166000000000,-95.9219863000000000</t>
  </si>
  <si>
    <t>Love's</t>
  </si>
  <si>
    <t>30.0644580000000000,-95.9077447000000000</t>
  </si>
  <si>
    <t>Murphy(Brenham)(29W)</t>
  </si>
  <si>
    <t>30.1405836000000000,-96.3965285000000000</t>
  </si>
  <si>
    <t>Buc-ee`s # 033</t>
  </si>
  <si>
    <t>Murphy(La Marque)(2S)</t>
  </si>
  <si>
    <t>29.4292547000000000,-95.0650070000000000</t>
  </si>
  <si>
    <t>29.4042255000000000,-95.0384951000000000</t>
  </si>
  <si>
    <t>Murphy(Galveston)(10S)</t>
  </si>
  <si>
    <t>29.2631900000000000,-94.8358250000000000</t>
  </si>
  <si>
    <t>Murphy(Houston)(27N)</t>
  </si>
  <si>
    <t>29.6306010000000000,-95.2368543000000000</t>
  </si>
  <si>
    <t>Buc-ee`s # 034</t>
  </si>
  <si>
    <t>Flying-J Truck Stop</t>
  </si>
  <si>
    <t>29.8010536000000000,-95.0020730000000000</t>
  </si>
  <si>
    <t>29.7955378000000000,-95.0355430000000000</t>
  </si>
  <si>
    <t>Love`s Travel Stop</t>
  </si>
  <si>
    <t>29.7980518000000000,-95.0347870000000000</t>
  </si>
  <si>
    <t>Murphy(Baytown)(9W)</t>
  </si>
  <si>
    <t>29.7763578000000000,-94.9795931000000000</t>
  </si>
  <si>
    <t>Murphy(Beaumont)(55E)</t>
  </si>
  <si>
    <t>30.1209141000000000,-94.1699359000000000</t>
  </si>
  <si>
    <t>Murphy(W. Orange)(76E)</t>
  </si>
  <si>
    <t>30.0931330000000000,-93.7681878000000000</t>
  </si>
  <si>
    <t>Buc-ee`s # 035</t>
  </si>
  <si>
    <t>Cefco</t>
  </si>
  <si>
    <t>31.1367696000000000,-97.3316850000000000</t>
  </si>
  <si>
    <t>31.1387998000000000,-97.3313951000000000</t>
  </si>
  <si>
    <t>CST</t>
  </si>
  <si>
    <t>31.1429319000000000,-97.3288314000000000</t>
  </si>
  <si>
    <t>Murphy (Belton)(12W)</t>
  </si>
  <si>
    <t>31.0825363000000000,-97.4610988000000000</t>
  </si>
  <si>
    <t>Wal-Mart</t>
  </si>
  <si>
    <t>31.1160570000000000,-97.4135852000000000</t>
  </si>
  <si>
    <t>Buc-ee`s # 036</t>
  </si>
  <si>
    <t>Quik Trip - Terrell</t>
  </si>
  <si>
    <t>32.7165620000000000,-96.3232060000000000</t>
  </si>
  <si>
    <t>32.7038990000000000,-96.2769057000000000</t>
  </si>
  <si>
    <t>32.6995413000000000,-96.2763062000000000</t>
  </si>
  <si>
    <t>Murphy (Terrell)(2N)</t>
  </si>
  <si>
    <t>32.7388691000000000,-96.3063683000000000</t>
  </si>
  <si>
    <t>32.7001257000000000,-96.2786498000000000</t>
  </si>
  <si>
    <t>Murphy (Forney)(10W)</t>
  </si>
  <si>
    <t>32.7435502000000000,-96.4499137000000000</t>
  </si>
  <si>
    <t>Buc-ee`s # 037</t>
  </si>
  <si>
    <t>Shell</t>
  </si>
  <si>
    <t>33.0242700000000000,-97.2783200000000000</t>
  </si>
  <si>
    <t>33.0256727000000000,-97.2745497000000000</t>
  </si>
  <si>
    <t>Murphy(Roanoke)(3E)</t>
  </si>
  <si>
    <t>33.0139980000000000,-97.2217412000000000</t>
  </si>
  <si>
    <t>32.9579489000000000,-97.3078648000000000</t>
  </si>
  <si>
    <t>Quik Trip - Ft Worth</t>
  </si>
  <si>
    <t>33.0251074000000000,-97.2736378000000000</t>
  </si>
  <si>
    <t>33.0280180000000000,-97.2725044000000000</t>
  </si>
  <si>
    <t>Murphy (Denton)(16N)</t>
  </si>
  <si>
    <t>33.1929580000000000,-97.0961866000000000</t>
  </si>
  <si>
    <t>Murphy (Ft Worth)(10W)</t>
  </si>
  <si>
    <t>32.9658063000000000,-97.4143779000000000</t>
  </si>
  <si>
    <t>Murphy (Keller)(9S)</t>
  </si>
  <si>
    <t>32.8938018000000000,-97.2891908000000000</t>
  </si>
  <si>
    <t>StoreName2</t>
  </si>
  <si>
    <t>StoreCompetitorStoreXRef</t>
  </si>
  <si>
    <t>29.0654360000000000,-95.4193900000000000</t>
  </si>
  <si>
    <t xml:space="preserve">Distance </t>
  </si>
  <si>
    <t>Bearing</t>
  </si>
  <si>
    <t xml:space="preserve">=ATAN2(COS(lat1)*SIN(lat2)-SIN(lat1)*COS(lat2)*COS(lon2-lon1),SIN(lon2-lon1)*COS(lat2)) </t>
  </si>
  <si>
    <t>XID</t>
  </si>
  <si>
    <t>lat1</t>
  </si>
  <si>
    <t>lon1</t>
  </si>
  <si>
    <t>lat2</t>
  </si>
  <si>
    <t>lon2</t>
  </si>
  <si>
    <t>Bearing Calculation</t>
  </si>
  <si>
    <t>=ACOS( SIN(lat1)*SIN(lat2) + COS(lat1)*COS(lat2)*COS(lon2-lon1) ) * 6371000</t>
  </si>
  <si>
    <t>Angle</t>
  </si>
  <si>
    <t>Direction (Precision)</t>
  </si>
  <si>
    <t>3911 Dogwood Drive, Pearland Texas 77584</t>
  </si>
  <si>
    <t>327 Hwy 2004 Rd, Lake Jackson, Texas 77566</t>
  </si>
  <si>
    <t>Lat1</t>
  </si>
  <si>
    <t>Long1</t>
  </si>
  <si>
    <t>Lat2</t>
  </si>
  <si>
    <t>Long2</t>
  </si>
  <si>
    <t>Buc-ee's</t>
  </si>
  <si>
    <t>Competitor</t>
  </si>
  <si>
    <r>
      <t>φ</t>
    </r>
    <r>
      <rPr>
        <b/>
        <vertAlign val="subscript"/>
        <sz val="10"/>
        <rFont val="Arial"/>
        <family val="2"/>
      </rPr>
      <t>1</t>
    </r>
  </si>
  <si>
    <r>
      <t>φ</t>
    </r>
    <r>
      <rPr>
        <b/>
        <vertAlign val="subscript"/>
        <sz val="10"/>
        <rFont val="Arial"/>
        <family val="2"/>
      </rPr>
      <t>2</t>
    </r>
  </si>
  <si>
    <t>∆φ</t>
  </si>
  <si>
    <r>
      <t>λ</t>
    </r>
    <r>
      <rPr>
        <b/>
        <vertAlign val="subscript"/>
        <sz val="10"/>
        <rFont val="Arial"/>
        <family val="2"/>
      </rPr>
      <t>1</t>
    </r>
  </si>
  <si>
    <r>
      <t>λ</t>
    </r>
    <r>
      <rPr>
        <b/>
        <vertAlign val="subscript"/>
        <sz val="10"/>
        <rFont val="Arial"/>
        <family val="2"/>
      </rPr>
      <t>2</t>
    </r>
  </si>
  <si>
    <t>∆λ</t>
  </si>
  <si>
    <t>Straight Distance</t>
  </si>
  <si>
    <t>Distance 
Calculation</t>
  </si>
  <si>
    <t>Paste results in Green area ONLY.  H and I are formulas</t>
  </si>
  <si>
    <t>Planet Radius</t>
  </si>
  <si>
    <t>Miles</t>
  </si>
  <si>
    <t>Final Bearing 
(Angle)</t>
  </si>
  <si>
    <t>Direction</t>
  </si>
  <si>
    <t>Precision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</si>
</sst>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"/>
    <numFmt numFmtId="165" formatCode="0.000"/>
  </numFmts>
  <fonts count="18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333333"/>
      <name val="Lucida Console"/>
      <family val="3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name val="Arial"/>
      <family val="2"/>
    </font>
    <font>
      <b/>
      <vertAlign val="subscript"/>
      <sz val="10"/>
      <name val="Arial"/>
      <family val="2"/>
    </font>
    <font>
      <sz val="1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Courier New"/>
      <family val="3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indexed="0"/>
      </patternFill>
    </fill>
    <fill>
      <patternFill patternType="solid">
        <fgColor theme="8" tint="0.7999816888943144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">
    <xf numFmtId="0" fontId="0" fillId="0" borderId="0"/>
    <xf numFmtId="0" fontId="2" fillId="0" borderId="0"/>
    <xf numFmtId="0" fontId="7" fillId="5" borderId="0" applyNumberFormat="0" applyBorder="0" applyAlignment="0" applyProtection="0"/>
    <xf numFmtId="0" fontId="8" fillId="6" borderId="0" applyNumberFormat="0" applyBorder="0" applyAlignment="0" applyProtection="0"/>
    <xf numFmtId="0" fontId="9" fillId="7" borderId="0" applyNumberFormat="0" applyBorder="0" applyAlignment="0" applyProtection="0"/>
  </cellStyleXfs>
  <cellXfs count="27">
    <xf numFmtId="0" fontId="0" fillId="0" borderId="0" xfId="0"/>
    <xf numFmtId="0" fontId="4" fillId="0" borderId="0" xfId="0" applyFont="1"/>
    <xf numFmtId="0" fontId="3" fillId="0" borderId="1" xfId="1" applyFont="1" applyFill="1" applyBorder="1" applyAlignment="1">
      <alignment wrapText="1"/>
    </xf>
    <xf numFmtId="2" fontId="0" fillId="0" borderId="0" xfId="0" applyNumberFormat="1"/>
    <xf numFmtId="2" fontId="0" fillId="0" borderId="0" xfId="0" applyNumberFormat="1" applyAlignment="1">
      <alignment wrapText="1"/>
    </xf>
    <xf numFmtId="21" fontId="0" fillId="0" borderId="0" xfId="0" applyNumberFormat="1"/>
    <xf numFmtId="21" fontId="0" fillId="0" borderId="0" xfId="0" applyNumberFormat="1" applyAlignment="1">
      <alignment wrapText="1"/>
    </xf>
    <xf numFmtId="2" fontId="4" fillId="2" borderId="2" xfId="0" applyNumberFormat="1" applyFont="1" applyFill="1" applyBorder="1"/>
    <xf numFmtId="0" fontId="1" fillId="3" borderId="2" xfId="1" applyFont="1" applyFill="1" applyBorder="1" applyAlignment="1">
      <alignment horizontal="center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1" fillId="4" borderId="3" xfId="1" applyFont="1" applyFill="1" applyBorder="1" applyAlignment="1">
      <alignment horizontal="center"/>
    </xf>
    <xf numFmtId="20" fontId="0" fillId="0" borderId="0" xfId="0" applyNumberFormat="1"/>
    <xf numFmtId="0" fontId="0" fillId="0" borderId="0" xfId="0" quotePrefix="1"/>
    <xf numFmtId="0" fontId="6" fillId="0" borderId="0" xfId="0" applyFont="1"/>
    <xf numFmtId="0" fontId="0" fillId="2" borderId="0" xfId="0" applyFill="1"/>
    <xf numFmtId="2" fontId="0" fillId="2" borderId="0" xfId="0" applyNumberFormat="1" applyFill="1"/>
    <xf numFmtId="0" fontId="6" fillId="2" borderId="0" xfId="0" applyFont="1" applyFill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165" fontId="0" fillId="0" borderId="0" xfId="0" applyNumberFormat="1"/>
    <xf numFmtId="16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12" fillId="5" borderId="0" xfId="2" applyFont="1"/>
    <xf numFmtId="0" fontId="9" fillId="7" borderId="0" xfId="4" applyAlignment="1">
      <alignment horizontal="center" vertical="center"/>
    </xf>
    <xf numFmtId="0" fontId="0" fillId="0" borderId="0" xfId="0" quotePrefix="1" applyAlignment="1">
      <alignment horizontal="center"/>
    </xf>
    <xf numFmtId="0" fontId="13" fillId="6" borderId="0" xfId="3" applyFont="1" applyAlignment="1">
      <alignment horizontal="center"/>
    </xf>
  </cellXfs>
  <cellStyles count="5">
    <cellStyle name="Bad" xfId="3" builtinId="27"/>
    <cellStyle name="Good" xfId="2" builtinId="26"/>
    <cellStyle name="Neutral" xfId="4" builtinId="28"/>
    <cellStyle name="Normal" xfId="0" builtinId="0"/>
    <cellStyle name="Normal_AddressFiller" xfId="1"/>
  </cellStyles>
  <dxfs count="20">
    <dxf>
      <numFmt numFmtId="165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numFmt numFmtId="0" formatCode="General"/>
    </dxf>
    <dxf>
      <numFmt numFmtId="165" formatCode="0.00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171450</xdr:rowOff>
        </xdr:from>
        <xdr:to>
          <xdr:col>11</xdr:col>
          <xdr:colOff>295275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Travel Times / Distances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2:G152" totalsRowShown="0">
  <autoFilter ref="A2:G152">
    <filterColumn colId="5">
      <customFilters>
        <customFilter operator="greaterThan" val="10"/>
      </customFilters>
    </filterColumn>
  </autoFilter>
  <tableColumns count="7">
    <tableColumn id="1" name="StoreCompetitorStoreXRef"/>
    <tableColumn id="2" name="StoreName"/>
    <tableColumn id="3" name="StoreName2"/>
    <tableColumn id="4" name="Bucees_Coord"/>
    <tableColumn id="5" name="Competitor_Coord"/>
    <tableColumn id="6" name="Distance " dataDxfId="19">
      <calculatedColumnFormula>GoogleDistance!E2</calculatedColumnFormula>
    </tableColumn>
    <tableColumn id="7" name="Bearing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3:J153" totalsRowShown="0">
  <autoFilter ref="A3:J153"/>
  <tableColumns count="10">
    <tableColumn id="1" name="XID" dataDxfId="18" dataCellStyle="Good"/>
    <tableColumn id="2" name="Buc-ee's" dataDxfId="17" dataCellStyle="Good"/>
    <tableColumn id="3" name="Competitor" dataDxfId="16" dataCellStyle="Good"/>
    <tableColumn id="4" name="Lat1" dataDxfId="15" dataCellStyle="Good"/>
    <tableColumn id="5" name="Long1" dataDxfId="14" dataCellStyle="Good"/>
    <tableColumn id="6" name="Lat2" dataDxfId="13" dataCellStyle="Good"/>
    <tableColumn id="7" name="Long2" dataDxfId="12" dataCellStyle="Good"/>
    <tableColumn id="8" name="Straight Distance" dataDxfId="11">
      <calculatedColumnFormula>S4</calculatedColumnFormula>
    </tableColumn>
    <tableColumn id="9" name="Bearing" dataDxfId="10">
      <calculatedColumnFormula>T4</calculatedColumnFormula>
    </tableColumn>
    <tableColumn id="10" name="Direction" dataDxfId="9" dataCellStyle="Good">
      <calculatedColumnFormula>GetBearing(I4,Direction_Precision)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M3:T153" totalsRowShown="0" headerRowDxfId="8" dataDxfId="7">
  <autoFilter ref="M3:T153"/>
  <tableColumns count="8">
    <tableColumn id="1" name="φ1" dataDxfId="6">
      <calculatedColumnFormula>RADIANS(D4)</calculatedColumnFormula>
    </tableColumn>
    <tableColumn id="2" name="φ2" dataDxfId="5">
      <calculatedColumnFormula>RADIANS(F4)</calculatedColumnFormula>
    </tableColumn>
    <tableColumn id="3" name="∆φ" dataDxfId="4">
      <calculatedColumnFormula>N4-M4</calculatedColumnFormula>
    </tableColumn>
    <tableColumn id="4" name="λ1" dataDxfId="3">
      <calculatedColumnFormula>RADIANS(E4)</calculatedColumnFormula>
    </tableColumn>
    <tableColumn id="5" name="λ2" dataDxfId="2">
      <calculatedColumnFormula>RADIANS(G4)</calculatedColumnFormula>
    </tableColumn>
    <tableColumn id="6" name="∆λ" dataDxfId="1">
      <calculatedColumnFormula>Q4-P4</calculatedColumnFormula>
    </tableColumn>
    <tableColumn id="7" name="Distance _x000a_Calculation" dataDxfId="0">
      <calculatedColumnFormula>Planet_Radius*(2*ATAN2(SQRT(1-((SIN(RADIANS(F4-D4)/2)^2)+COS(RADIANS(D4))*COS(RADIANS(F4))*(SIN(RADIANS(G4-E4)/2)^2))),SQRT(((SIN(RADIANS(F4-D4)/2)^2)+COS(RADIANS(D4))*COS(RADIANS(F4))*(SIN(RADIANS(G4-E4)/2)^2)))))</calculatedColumnFormula>
    </tableColumn>
    <tableColumn id="8" name="Final Bearing _x000a_(Angle)">
      <calculatedColumnFormula>MOD(DEGREES(ATAN2(COS(N4)*SIN(M4)-SIN(N4)*COS(M4)*COS(-R4),SIN(-R4)*COS(M4)))-180,360)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55"/>
  <sheetViews>
    <sheetView topLeftCell="A52" workbookViewId="0">
      <selection activeCell="B9" sqref="B9"/>
    </sheetView>
  </sheetViews>
  <sheetFormatPr defaultRowHeight="15" x14ac:dyDescent="0.25"/>
  <cols>
    <col min="1" max="1" width="40.42578125" bestFit="1" customWidth="1"/>
    <col min="2" max="3" width="13.28515625" customWidth="1"/>
    <col min="4" max="4" width="40.42578125" bestFit="1" customWidth="1"/>
    <col min="5" max="5" width="14.28515625" style="3" customWidth="1"/>
    <col min="6" max="6" width="16.140625" customWidth="1"/>
  </cols>
  <sheetData>
    <row r="1" spans="1:14" x14ac:dyDescent="0.25">
      <c r="A1" s="11" t="s">
        <v>0</v>
      </c>
      <c r="B1" s="11" t="s">
        <v>3</v>
      </c>
      <c r="C1" s="11" t="s">
        <v>4</v>
      </c>
      <c r="D1" s="11" t="s">
        <v>1</v>
      </c>
      <c r="E1" s="7" t="s">
        <v>2</v>
      </c>
      <c r="F1" s="8" t="s">
        <v>5</v>
      </c>
      <c r="M1" s="9"/>
      <c r="N1" s="10"/>
    </row>
    <row r="2" spans="1:14" x14ac:dyDescent="0.25">
      <c r="A2" s="2" t="str">
        <f>Bearing1!D3</f>
        <v>29.0413056999999990,-95.4133269000000010</v>
      </c>
      <c r="B2" s="2"/>
      <c r="C2" s="2"/>
      <c r="D2" s="2" t="str">
        <f>Bearing1!E3</f>
        <v>29.0456212000000000,-95.4044875000000000</v>
      </c>
      <c r="E2" s="4">
        <v>0.8</v>
      </c>
      <c r="F2" s="6">
        <v>1.3888888888888889E-3</v>
      </c>
    </row>
    <row r="3" spans="1:14" x14ac:dyDescent="0.25">
      <c r="A3" s="2" t="str">
        <f>Bearing1!D4</f>
        <v>29.0413056999999990,-95.4133269000000010</v>
      </c>
      <c r="B3" s="2"/>
      <c r="C3" s="2"/>
      <c r="D3" s="2" t="str">
        <f>Bearing1!E4</f>
        <v>29.0454575000000000,-95.4613030000000000</v>
      </c>
      <c r="E3" s="4">
        <v>3.2</v>
      </c>
      <c r="F3" s="6">
        <v>6.9444444444444441E-3</v>
      </c>
    </row>
    <row r="4" spans="1:14" x14ac:dyDescent="0.25">
      <c r="A4" s="2" t="str">
        <f>Bearing1!D5</f>
        <v>29.0413056999999990,-95.4133269000000010</v>
      </c>
      <c r="B4" s="2"/>
      <c r="C4" s="2"/>
      <c r="D4" s="2" t="str">
        <f>Bearing1!E5</f>
        <v>29.0434622000000000,-95.4469269000000000</v>
      </c>
      <c r="E4" s="4">
        <v>2.2000000000000002</v>
      </c>
      <c r="F4" s="6">
        <v>4.1666666666666666E-3</v>
      </c>
    </row>
    <row r="5" spans="1:14" x14ac:dyDescent="0.25">
      <c r="A5" s="2" t="str">
        <f>Bearing1!D6</f>
        <v>29.0413056999999990,-95.4133269000000010</v>
      </c>
      <c r="B5" s="2"/>
      <c r="C5" s="2"/>
      <c r="D5" s="2" t="str">
        <f>Bearing1!E6</f>
        <v>29.0400962000000000,-95.4235807000000000</v>
      </c>
      <c r="E5" s="4">
        <v>1</v>
      </c>
      <c r="F5" s="6">
        <v>1.3888888888888889E-3</v>
      </c>
      <c r="H5" t="s">
        <v>6</v>
      </c>
    </row>
    <row r="6" spans="1:14" x14ac:dyDescent="0.25">
      <c r="A6" s="2" t="str">
        <f>Bearing1!D7</f>
        <v>29.0413056999999990,-95.4133269000000010</v>
      </c>
      <c r="B6" s="2"/>
      <c r="C6" s="2"/>
      <c r="D6" s="2" t="str">
        <f>Bearing1!E7</f>
        <v>29.0381032000000000,-95.4229472000000000</v>
      </c>
      <c r="E6" s="3">
        <v>1</v>
      </c>
      <c r="F6" s="5">
        <v>1.3888888888888889E-3</v>
      </c>
      <c r="H6" t="s">
        <v>7</v>
      </c>
    </row>
    <row r="7" spans="1:14" x14ac:dyDescent="0.25">
      <c r="A7" s="2" t="str">
        <f>Bearing1!D8</f>
        <v>29.0641070000000000,-95.4270709999999980</v>
      </c>
      <c r="B7" s="2"/>
      <c r="C7" s="2"/>
      <c r="D7" s="2" t="str">
        <f>Bearing1!E8</f>
        <v>29.0456212000000000,-95.4044875000000000</v>
      </c>
      <c r="E7" s="3">
        <v>4</v>
      </c>
      <c r="F7" s="5">
        <v>3.472222222222222E-3</v>
      </c>
    </row>
    <row r="8" spans="1:14" x14ac:dyDescent="0.25">
      <c r="A8" s="2" t="str">
        <f>Bearing1!D9</f>
        <v>29.0641070000000000,-95.4270709999999980</v>
      </c>
      <c r="B8" s="2"/>
      <c r="C8" s="2"/>
      <c r="D8" s="2" t="str">
        <f>Bearing1!E9</f>
        <v>29.0454575000000000,-95.4613030000000000</v>
      </c>
      <c r="E8" s="3">
        <v>3.3</v>
      </c>
      <c r="F8" s="12">
        <v>6.2499999999999995E-3</v>
      </c>
      <c r="G8" s="1"/>
    </row>
    <row r="9" spans="1:14" x14ac:dyDescent="0.25">
      <c r="A9" s="2" t="str">
        <f>Bearing1!D10</f>
        <v>29.0641070000000000,-95.4270709999999980</v>
      </c>
      <c r="B9" s="2"/>
      <c r="C9" s="2"/>
      <c r="D9" s="2" t="str">
        <f>Bearing1!E10</f>
        <v>29.0481102000000000,-95.4652421000000000</v>
      </c>
      <c r="E9" s="3">
        <v>3</v>
      </c>
      <c r="F9" s="12">
        <v>4.8611111111111112E-3</v>
      </c>
    </row>
    <row r="10" spans="1:14" x14ac:dyDescent="0.25">
      <c r="A10" s="2" t="str">
        <f>Bearing1!D11</f>
        <v>29.0641070000000000,-95.4270709999999980</v>
      </c>
      <c r="B10" s="2"/>
      <c r="C10" s="2"/>
      <c r="D10" s="2" t="str">
        <f>Bearing1!E11</f>
        <v>29.0434622000000000,-95.4469269000000000</v>
      </c>
      <c r="E10" s="3">
        <v>3.1</v>
      </c>
      <c r="F10" s="12">
        <v>5.5555555555555558E-3</v>
      </c>
    </row>
    <row r="11" spans="1:14" x14ac:dyDescent="0.25">
      <c r="A11" s="2" t="str">
        <f>Bearing1!D12</f>
        <v>29.0641070000000000,-95.4270709999999980</v>
      </c>
      <c r="B11" s="2"/>
      <c r="C11" s="2"/>
      <c r="D11" s="2" t="str">
        <f>Bearing1!E12</f>
        <v>29.0381032000000000,-95.4229472000000000</v>
      </c>
      <c r="E11" s="3">
        <v>2.8</v>
      </c>
      <c r="F11" s="12">
        <v>4.1666666666666666E-3</v>
      </c>
    </row>
    <row r="12" spans="1:14" x14ac:dyDescent="0.25">
      <c r="A12" s="2" t="str">
        <f>Bearing1!D13</f>
        <v>29.0641070000000000,-95.4270709999999980</v>
      </c>
      <c r="B12" s="2"/>
      <c r="C12" s="2"/>
      <c r="D12" s="2" t="str">
        <f>Bearing1!E13</f>
        <v>29.0654360000000000,-95.4193900000000000</v>
      </c>
      <c r="E12" s="3">
        <v>1</v>
      </c>
      <c r="F12" s="12">
        <v>6.9444444444444447E-4</v>
      </c>
    </row>
    <row r="13" spans="1:14" x14ac:dyDescent="0.25">
      <c r="A13" s="2" t="str">
        <f>Bearing1!D14</f>
        <v>29.0555190000000000,-95.5724909999999990</v>
      </c>
      <c r="B13" s="2"/>
      <c r="C13" s="2"/>
      <c r="D13" s="2" t="str">
        <f>Bearing1!E14</f>
        <v>29.0454575000000000,-95.4613030000000000</v>
      </c>
      <c r="E13" s="3">
        <v>7.8</v>
      </c>
      <c r="F13" s="12">
        <v>8.3333333333333332E-3</v>
      </c>
    </row>
    <row r="14" spans="1:14" x14ac:dyDescent="0.25">
      <c r="A14" s="2" t="str">
        <f>Bearing1!D15</f>
        <v>29.0555190000000000,-95.5724909999999990</v>
      </c>
      <c r="B14" s="2"/>
      <c r="C14" s="2"/>
      <c r="D14" s="2" t="str">
        <f>Bearing1!E15</f>
        <v>29.0481102000000000,-95.4652421000000000</v>
      </c>
      <c r="E14" s="3">
        <v>7.3</v>
      </c>
      <c r="F14" s="12">
        <v>6.9444444444444441E-3</v>
      </c>
    </row>
    <row r="15" spans="1:14" x14ac:dyDescent="0.25">
      <c r="A15" s="2" t="str">
        <f>Bearing1!D16</f>
        <v>29.0555190000000000,-95.5724909999999990</v>
      </c>
      <c r="B15" s="2"/>
      <c r="C15" s="2"/>
      <c r="D15" s="2" t="str">
        <f>Bearing1!E16</f>
        <v>29.0434622000000000,-95.4469269000000000</v>
      </c>
      <c r="E15" s="3">
        <v>8.5</v>
      </c>
      <c r="F15" s="12">
        <v>1.0416666666666666E-2</v>
      </c>
    </row>
    <row r="16" spans="1:14" x14ac:dyDescent="0.25">
      <c r="A16" s="2" t="str">
        <f>Bearing1!D17</f>
        <v>29.0346809999999990,-95.5675260000000010</v>
      </c>
      <c r="B16" s="2"/>
      <c r="C16" s="2"/>
      <c r="D16" s="2" t="str">
        <f>Bearing1!E17</f>
        <v>29.0454575000000000,-95.4613030000000000</v>
      </c>
      <c r="E16" s="3">
        <v>8.3000000000000007</v>
      </c>
      <c r="F16" s="12">
        <v>9.0277777777777787E-3</v>
      </c>
    </row>
    <row r="17" spans="1:6" x14ac:dyDescent="0.25">
      <c r="A17" s="2" t="str">
        <f>Bearing1!D18</f>
        <v>29.0346809999999990,-95.5675260000000010</v>
      </c>
      <c r="B17" s="2"/>
      <c r="C17" s="2"/>
      <c r="D17" s="2" t="str">
        <f>Bearing1!E18</f>
        <v>29.0481102000000000,-95.4652421000000000</v>
      </c>
      <c r="E17" s="3">
        <v>7.9</v>
      </c>
      <c r="F17" s="12">
        <v>7.6388888888888886E-3</v>
      </c>
    </row>
    <row r="18" spans="1:6" x14ac:dyDescent="0.25">
      <c r="A18" s="2" t="str">
        <f>Bearing1!D19</f>
        <v>29.0346809999999990,-95.5675260000000010</v>
      </c>
      <c r="B18" s="2"/>
      <c r="C18" s="2"/>
      <c r="D18" s="2" t="str">
        <f>Bearing1!E19</f>
        <v>29.0434622000000000,-95.4469269000000000</v>
      </c>
      <c r="E18" s="3">
        <v>11.7</v>
      </c>
      <c r="F18" s="12">
        <v>1.1111111111111112E-2</v>
      </c>
    </row>
    <row r="19" spans="1:6" x14ac:dyDescent="0.25">
      <c r="A19" s="2" t="str">
        <f>Bearing1!D20</f>
        <v>28.9812087000000000,-95.3358743000000000</v>
      </c>
      <c r="B19" s="2"/>
      <c r="C19" s="2"/>
      <c r="D19" s="2" t="str">
        <f>Bearing1!E20</f>
        <v>29.0212499999999980,-95.4368589999999980</v>
      </c>
      <c r="E19" s="3">
        <v>6.9</v>
      </c>
      <c r="F19" s="12">
        <v>6.2499999999999995E-3</v>
      </c>
    </row>
    <row r="20" spans="1:6" x14ac:dyDescent="0.25">
      <c r="A20" s="2" t="str">
        <f>Bearing1!D21</f>
        <v>28.9812087000000000,-95.3358743000000000</v>
      </c>
      <c r="B20" s="2"/>
      <c r="C20" s="2"/>
      <c r="D20" s="2" t="str">
        <f>Bearing1!E21</f>
        <v>29.0454575000000000,-95.4613030000000000</v>
      </c>
      <c r="E20" s="3">
        <v>9.6</v>
      </c>
      <c r="F20" s="12">
        <v>9.7222222222222224E-3</v>
      </c>
    </row>
    <row r="21" spans="1:6" x14ac:dyDescent="0.25">
      <c r="A21" s="2" t="str">
        <f>Bearing1!D22</f>
        <v>28.9812087000000000,-95.3358743000000000</v>
      </c>
      <c r="B21" s="2"/>
      <c r="C21" s="2"/>
      <c r="D21" s="2" t="str">
        <f>Bearing1!E22</f>
        <v>29.0434622000000000,-95.4469269000000000</v>
      </c>
      <c r="E21" s="3">
        <v>8.6999999999999993</v>
      </c>
      <c r="F21" s="12">
        <v>7.6388888888888886E-3</v>
      </c>
    </row>
    <row r="22" spans="1:6" x14ac:dyDescent="0.25">
      <c r="A22" s="2" t="str">
        <f>Bearing1!D23</f>
        <v>28.9694100000000000,-95.3706729999999960</v>
      </c>
      <c r="B22" s="2"/>
      <c r="C22" s="2"/>
      <c r="D22" s="2" t="str">
        <f>Bearing1!E23</f>
        <v>29.0212499999999980,-95.4368589999999980</v>
      </c>
      <c r="E22" s="3">
        <v>5.9</v>
      </c>
      <c r="F22" s="12">
        <v>5.5555555555555558E-3</v>
      </c>
    </row>
    <row r="23" spans="1:6" x14ac:dyDescent="0.25">
      <c r="A23" s="2" t="str">
        <f>Bearing1!D24</f>
        <v>28.9694100000000000,-95.3706729999999960</v>
      </c>
      <c r="B23" s="2"/>
      <c r="C23" s="2"/>
      <c r="D23" s="2" t="str">
        <f>Bearing1!E24</f>
        <v>29.0454575000000000,-95.4613030000000000</v>
      </c>
      <c r="E23" s="3">
        <v>8.6999999999999993</v>
      </c>
      <c r="F23" s="12">
        <v>9.0277777777777787E-3</v>
      </c>
    </row>
    <row r="24" spans="1:6" x14ac:dyDescent="0.25">
      <c r="A24" s="2" t="str">
        <f>Bearing1!D25</f>
        <v>28.9694100000000000,-95.3706729999999960</v>
      </c>
      <c r="B24" s="2"/>
      <c r="C24" s="2"/>
      <c r="D24" s="2" t="str">
        <f>Bearing1!E25</f>
        <v>28.9710851000000000,-95.3733280000000000</v>
      </c>
      <c r="E24" s="3">
        <v>0.3</v>
      </c>
      <c r="F24" s="12">
        <v>6.9444444444444447E-4</v>
      </c>
    </row>
    <row r="25" spans="1:6" x14ac:dyDescent="0.25">
      <c r="A25" s="2" t="str">
        <f>Bearing1!D26</f>
        <v>28.9694100000000000,-95.3706729999999960</v>
      </c>
      <c r="B25" s="2"/>
      <c r="C25" s="2"/>
      <c r="D25" s="2" t="str">
        <f>Bearing1!E26</f>
        <v>28.9686933000000000,-95.3709403000000000</v>
      </c>
      <c r="E25" s="3">
        <v>0.1</v>
      </c>
      <c r="F25" s="12">
        <v>0</v>
      </c>
    </row>
    <row r="26" spans="1:6" x14ac:dyDescent="0.25">
      <c r="A26" s="2" t="str">
        <f>Bearing1!D27</f>
        <v>28.9694100000000000,-95.3706729999999960</v>
      </c>
      <c r="B26" s="2"/>
      <c r="C26" s="2"/>
      <c r="D26" s="2" t="str">
        <f>Bearing1!E27</f>
        <v>29.0434622000000000,-95.4469269000000000</v>
      </c>
      <c r="E26" s="3">
        <v>7.7</v>
      </c>
      <c r="F26" s="12">
        <v>6.9444444444444441E-3</v>
      </c>
    </row>
    <row r="27" spans="1:6" x14ac:dyDescent="0.25">
      <c r="A27" s="2" t="str">
        <f>Bearing1!D28</f>
        <v>28.6095830000000010,-96.6348978999999990</v>
      </c>
      <c r="B27" s="2"/>
      <c r="C27" s="2"/>
      <c r="D27" s="2" t="str">
        <f>Bearing1!E28</f>
        <v>28.6270554000000000,-96.6399649000000000</v>
      </c>
      <c r="E27" s="3">
        <v>1.7</v>
      </c>
      <c r="F27" s="12">
        <v>3.472222222222222E-3</v>
      </c>
    </row>
    <row r="28" spans="1:6" x14ac:dyDescent="0.25">
      <c r="A28" s="2" t="str">
        <f>Bearing1!D29</f>
        <v>28.6095830000000010,-96.6348978999999990</v>
      </c>
      <c r="B28" s="2"/>
      <c r="C28" s="2"/>
      <c r="D28" s="2" t="str">
        <f>Bearing1!E29</f>
        <v>28.6123084000000000,-96.6450867000000000</v>
      </c>
      <c r="E28" s="3">
        <v>1.1000000000000001</v>
      </c>
      <c r="F28" s="12">
        <v>2.0833333333333333E-3</v>
      </c>
    </row>
    <row r="29" spans="1:6" x14ac:dyDescent="0.25">
      <c r="A29" s="2" t="str">
        <f>Bearing1!D30</f>
        <v>28.6095830000000010,-96.6348978999999990</v>
      </c>
      <c r="B29" s="2"/>
      <c r="C29" s="2"/>
      <c r="D29" s="2" t="str">
        <f>Bearing1!E30</f>
        <v>28.6329179000000000,-96.6289909000000000</v>
      </c>
      <c r="E29" s="3">
        <v>2.1</v>
      </c>
      <c r="F29" s="12">
        <v>3.472222222222222E-3</v>
      </c>
    </row>
    <row r="30" spans="1:6" x14ac:dyDescent="0.25">
      <c r="A30" s="2" t="str">
        <f>Bearing1!D31</f>
        <v>28.6095830000000010,-96.6348978999999990</v>
      </c>
      <c r="B30" s="2"/>
      <c r="C30" s="2"/>
      <c r="D30" s="2" t="str">
        <f>Bearing1!E31</f>
        <v>28.6375971000000000,-96.6194072000000000</v>
      </c>
      <c r="E30" s="3">
        <v>2.7</v>
      </c>
      <c r="F30" s="12">
        <v>4.8611111111111112E-3</v>
      </c>
    </row>
    <row r="31" spans="1:6" x14ac:dyDescent="0.25">
      <c r="A31" s="2" t="str">
        <f>Bearing1!D32</f>
        <v>29.1848379999999990,-95.4090489999999960</v>
      </c>
      <c r="B31" s="2"/>
      <c r="C31" s="2"/>
      <c r="D31" s="2" t="str">
        <f>Bearing1!E32</f>
        <v>29.1830403000000000,-95.4359475000000000</v>
      </c>
      <c r="E31" s="3">
        <v>1.8</v>
      </c>
      <c r="F31" s="12">
        <v>4.1666666666666666E-3</v>
      </c>
    </row>
    <row r="32" spans="1:6" x14ac:dyDescent="0.25">
      <c r="A32" s="2" t="str">
        <f>Bearing1!D33</f>
        <v>29.1848379999999990,-95.4090489999999960</v>
      </c>
      <c r="B32" s="2"/>
      <c r="C32" s="2"/>
      <c r="D32" s="2" t="str">
        <f>Bearing1!E33</f>
        <v>29.1714390000000000,-95.4196187000000000</v>
      </c>
      <c r="E32" s="3">
        <v>1.4</v>
      </c>
      <c r="F32" s="12">
        <v>2.0833333333333333E-3</v>
      </c>
    </row>
    <row r="33" spans="1:6" x14ac:dyDescent="0.25">
      <c r="A33" s="2" t="str">
        <f>Bearing1!D34</f>
        <v>29.1848379999999990,-95.4090489999999960</v>
      </c>
      <c r="B33" s="2"/>
      <c r="C33" s="2"/>
      <c r="D33" s="2" t="str">
        <f>Bearing1!E34</f>
        <v>29.1832904000000000,-95.4322897000000000</v>
      </c>
      <c r="E33" s="3">
        <v>1.7</v>
      </c>
      <c r="F33" s="12">
        <v>3.472222222222222E-3</v>
      </c>
    </row>
    <row r="34" spans="1:6" x14ac:dyDescent="0.25">
      <c r="A34" s="2" t="str">
        <f>Bearing1!D35</f>
        <v>29.4301540000000020,-95.2263669999999960</v>
      </c>
      <c r="B34" s="2"/>
      <c r="C34" s="2"/>
      <c r="D34" s="2" t="str">
        <f>Bearing1!E35</f>
        <v>29.4046675000000000,-95.2375375000000000</v>
      </c>
      <c r="E34" s="3">
        <v>2.1</v>
      </c>
      <c r="F34" s="12">
        <v>2.7777777777777779E-3</v>
      </c>
    </row>
    <row r="35" spans="1:6" x14ac:dyDescent="0.25">
      <c r="A35" s="2" t="str">
        <f>Bearing1!D36</f>
        <v>29.4301540000000020,-95.2263669999999960</v>
      </c>
      <c r="B35" s="2"/>
      <c r="C35" s="2"/>
      <c r="D35" s="2" t="str">
        <f>Bearing1!E36</f>
        <v>29.4232758000000000,-95.2313217000000000</v>
      </c>
      <c r="E35" s="3">
        <v>0.8</v>
      </c>
      <c r="F35" s="12">
        <v>2.0833333333333333E-3</v>
      </c>
    </row>
    <row r="36" spans="1:6" x14ac:dyDescent="0.25">
      <c r="A36" s="2" t="str">
        <f>Bearing1!D37</f>
        <v>29.4301540000000020,-95.2263669999999960</v>
      </c>
      <c r="B36" s="2"/>
      <c r="C36" s="2"/>
      <c r="D36" s="2" t="str">
        <f>Bearing1!E37</f>
        <v>29.4297042000000000,-95.2452331000000000</v>
      </c>
      <c r="E36" s="3">
        <v>1.4</v>
      </c>
      <c r="F36" s="12">
        <v>2.7777777777777779E-3</v>
      </c>
    </row>
    <row r="37" spans="1:6" x14ac:dyDescent="0.25">
      <c r="A37" s="2" t="str">
        <f>Bearing1!D38</f>
        <v>29.4301540000000020,-95.2263669999999960</v>
      </c>
      <c r="B37" s="2"/>
      <c r="C37" s="2"/>
      <c r="D37" s="2" t="str">
        <f>Bearing1!E38</f>
        <v>29.3701293000000000,-95.2535997000000000</v>
      </c>
      <c r="E37" s="3">
        <v>4.8</v>
      </c>
      <c r="F37" s="12">
        <v>5.5555555555555558E-3</v>
      </c>
    </row>
    <row r="38" spans="1:6" x14ac:dyDescent="0.25">
      <c r="A38" s="2" t="str">
        <f>Bearing1!D39</f>
        <v>29.4301540000000020,-95.2263669999999960</v>
      </c>
      <c r="B38" s="2"/>
      <c r="C38" s="2"/>
      <c r="D38" s="2" t="str">
        <f>Bearing1!E39</f>
        <v>29.4239446000000000,-95.2303351000000000</v>
      </c>
      <c r="E38" s="3">
        <v>0.7</v>
      </c>
      <c r="F38" s="12">
        <v>2.0833333333333333E-3</v>
      </c>
    </row>
    <row r="39" spans="1:6" x14ac:dyDescent="0.25">
      <c r="A39" s="2" t="str">
        <f>Bearing1!D40</f>
        <v>29.5152290999999990,-97.4624484000000000</v>
      </c>
      <c r="B39" s="2"/>
      <c r="C39" s="2"/>
      <c r="D39" s="2" t="str">
        <f>Bearing1!E40</f>
        <v>29.5199588000000000,-97.4534596000000000</v>
      </c>
      <c r="E39" s="3">
        <v>0.8</v>
      </c>
      <c r="F39" s="12">
        <v>1.3888888888888889E-3</v>
      </c>
    </row>
    <row r="40" spans="1:6" x14ac:dyDescent="0.25">
      <c r="A40" s="2" t="str">
        <f>Bearing1!D41</f>
        <v>29.5152290999999990,-97.4624484000000000</v>
      </c>
      <c r="B40" s="2"/>
      <c r="C40" s="2"/>
      <c r="D40" s="2" t="str">
        <f>Bearing1!E41</f>
        <v>29.4723738000000000,-97.4471690000000000</v>
      </c>
      <c r="E40" s="3">
        <v>3.5</v>
      </c>
      <c r="F40" s="12">
        <v>3.472222222222222E-3</v>
      </c>
    </row>
    <row r="41" spans="1:6" x14ac:dyDescent="0.25">
      <c r="A41" s="2" t="str">
        <f>Bearing1!D42</f>
        <v>29.5152290999999990,-97.4624484000000000</v>
      </c>
      <c r="B41" s="2"/>
      <c r="C41" s="2"/>
      <c r="D41" s="2" t="str">
        <f>Bearing1!E42</f>
        <v>29.5152714000000000,-97.4594600000000000</v>
      </c>
      <c r="E41" s="3">
        <v>0.2</v>
      </c>
      <c r="F41" s="12">
        <v>0</v>
      </c>
    </row>
    <row r="42" spans="1:6" x14ac:dyDescent="0.25">
      <c r="A42" s="2" t="str">
        <f>Bearing1!D43</f>
        <v>29.5152290999999990,-97.4624484000000000</v>
      </c>
      <c r="B42" s="2"/>
      <c r="C42" s="2"/>
      <c r="D42" s="2" t="str">
        <f>Bearing1!E43</f>
        <v>29.5177115000000000,-97.4527587000000000</v>
      </c>
      <c r="E42" s="3">
        <v>1</v>
      </c>
      <c r="F42" s="12">
        <v>2.0833333333333333E-3</v>
      </c>
    </row>
    <row r="43" spans="1:6" x14ac:dyDescent="0.25">
      <c r="A43" s="2" t="str">
        <f>Bearing1!D44</f>
        <v>29.5152290999999990,-97.4624484000000000</v>
      </c>
      <c r="B43" s="2"/>
      <c r="C43" s="2"/>
      <c r="D43" s="2" t="str">
        <f>Bearing1!E44</f>
        <v>29.5145443000000000,-97.4643354000000000</v>
      </c>
      <c r="E43" s="3">
        <v>0.4</v>
      </c>
      <c r="F43" s="12">
        <v>6.9444444444444447E-4</v>
      </c>
    </row>
    <row r="44" spans="1:6" x14ac:dyDescent="0.25">
      <c r="A44" s="2" t="str">
        <f>Bearing1!D45</f>
        <v>29.5152290999999990,-97.4624484000000000</v>
      </c>
      <c r="B44" s="2"/>
      <c r="C44" s="2"/>
      <c r="D44" s="2" t="str">
        <f>Bearing1!E45</f>
        <v>29.5203894000000000,-97.4397408000000000</v>
      </c>
      <c r="E44" s="3">
        <v>1.6</v>
      </c>
      <c r="F44" s="12">
        <v>2.0833333333333333E-3</v>
      </c>
    </row>
    <row r="45" spans="1:6" x14ac:dyDescent="0.25">
      <c r="A45" s="2" t="str">
        <f>Bearing1!D46</f>
        <v>29.5152290999999990,-97.4624484000000000</v>
      </c>
      <c r="B45" s="2"/>
      <c r="C45" s="2"/>
      <c r="D45" s="2" t="str">
        <f>Bearing1!E46</f>
        <v>29.5181070000000000,-97.4509122000000000</v>
      </c>
      <c r="E45" s="3">
        <v>0.8</v>
      </c>
      <c r="F45" s="12">
        <v>1.3888888888888889E-3</v>
      </c>
    </row>
    <row r="46" spans="1:6" x14ac:dyDescent="0.25">
      <c r="A46" s="2" t="str">
        <f>Bearing1!D47</f>
        <v>29.5152290999999990,-97.4624484000000000</v>
      </c>
      <c r="B46" s="2"/>
      <c r="C46" s="2"/>
      <c r="D46" s="2" t="str">
        <f>Bearing1!E47</f>
        <v>29.5166450000000000,-97.4604712000000000</v>
      </c>
      <c r="E46" s="3">
        <v>0.3</v>
      </c>
      <c r="F46" s="12">
        <v>6.9444444444444447E-4</v>
      </c>
    </row>
    <row r="47" spans="1:6" x14ac:dyDescent="0.25">
      <c r="A47" s="2" t="str">
        <f>Bearing1!D48</f>
        <v>29.5152290999999990,-97.4624484000000000</v>
      </c>
      <c r="B47" s="2"/>
      <c r="C47" s="2"/>
      <c r="D47" s="2" t="str">
        <f>Bearing1!E48</f>
        <v>29.5201128000000000,-97.4521614000000000</v>
      </c>
      <c r="E47" s="3">
        <v>0.8</v>
      </c>
      <c r="F47" s="12">
        <v>1.3888888888888889E-3</v>
      </c>
    </row>
    <row r="48" spans="1:6" x14ac:dyDescent="0.25">
      <c r="A48" s="2" t="str">
        <f>Bearing1!D49</f>
        <v>29.5152290999999990,-97.4624484000000000</v>
      </c>
      <c r="B48" s="2"/>
      <c r="C48" s="2"/>
      <c r="D48" s="2" t="str">
        <f>Bearing1!E49</f>
        <v>29.4728232000000000,-97.4472578000000000</v>
      </c>
      <c r="E48" s="3">
        <v>3.5</v>
      </c>
      <c r="F48" s="12">
        <v>3.472222222222222E-3</v>
      </c>
    </row>
    <row r="49" spans="1:6" x14ac:dyDescent="0.25">
      <c r="A49" s="2" t="str">
        <f>Bearing1!D50</f>
        <v>29.5152290999999990,-97.4624484000000000</v>
      </c>
      <c r="B49" s="2"/>
      <c r="C49" s="2"/>
      <c r="D49" s="2" t="str">
        <f>Bearing1!E50</f>
        <v>29.5224712000000000,-97.4390610000000000</v>
      </c>
      <c r="E49" s="3">
        <v>1.5</v>
      </c>
      <c r="F49" s="12">
        <v>2.0833333333333333E-3</v>
      </c>
    </row>
    <row r="50" spans="1:6" x14ac:dyDescent="0.25">
      <c r="A50" s="2" t="str">
        <f>Bearing1!D51</f>
        <v>30.1791039999999990,-96.9125391999999980</v>
      </c>
      <c r="B50" s="2"/>
      <c r="C50" s="2"/>
      <c r="D50" s="2" t="str">
        <f>Bearing1!E51</f>
        <v>30.1765710000000000,-96.8985127000000000</v>
      </c>
      <c r="E50" s="3">
        <v>0.9</v>
      </c>
      <c r="F50" s="12">
        <v>6.9444444444444447E-4</v>
      </c>
    </row>
    <row r="51" spans="1:6" x14ac:dyDescent="0.25">
      <c r="A51" s="2" t="str">
        <f>Bearing1!D52</f>
        <v>30.1791039999999990,-96.9125391999999980</v>
      </c>
      <c r="B51" s="2"/>
      <c r="C51" s="2"/>
      <c r="D51" s="2" t="str">
        <f>Bearing1!E52</f>
        <v>30.1831558000000000,-96.9351029000000000</v>
      </c>
      <c r="E51" s="3">
        <v>1.4</v>
      </c>
      <c r="F51" s="12">
        <v>2.0833333333333333E-3</v>
      </c>
    </row>
    <row r="52" spans="1:6" x14ac:dyDescent="0.25">
      <c r="A52" s="2" t="str">
        <f>Bearing1!D53</f>
        <v>30.1791039999999990,-96.9125391999999980</v>
      </c>
      <c r="B52" s="2"/>
      <c r="C52" s="2"/>
      <c r="D52" s="2" t="str">
        <f>Bearing1!E53</f>
        <v>30.1800159000000000,-96.9254504000000000</v>
      </c>
      <c r="E52" s="3">
        <v>0.8</v>
      </c>
      <c r="F52" s="12">
        <v>6.9444444444444447E-4</v>
      </c>
    </row>
    <row r="53" spans="1:6" x14ac:dyDescent="0.25">
      <c r="A53" s="2" t="str">
        <f>Bearing1!D54</f>
        <v>30.1791039999999990,-96.9125391999999980</v>
      </c>
      <c r="B53" s="2"/>
      <c r="C53" s="2"/>
      <c r="D53" s="2" t="str">
        <f>Bearing1!E54</f>
        <v>30.1487469000000000,-96.6876259000000000</v>
      </c>
      <c r="E53" s="3">
        <v>14.1</v>
      </c>
      <c r="F53" s="12">
        <v>8.3333333333333332E-3</v>
      </c>
    </row>
    <row r="54" spans="1:6" x14ac:dyDescent="0.25">
      <c r="A54" s="2" t="str">
        <f>Bearing1!D55</f>
        <v>30.1791039999999990,-96.9125391999999980</v>
      </c>
      <c r="B54" s="2"/>
      <c r="C54" s="2"/>
      <c r="D54" s="2" t="str">
        <f>Bearing1!E55</f>
        <v>30.1817563000000000,-96.9337867000000000</v>
      </c>
      <c r="E54" s="3">
        <v>1.3</v>
      </c>
      <c r="F54" s="12">
        <v>1.3888888888888889E-3</v>
      </c>
    </row>
    <row r="55" spans="1:6" x14ac:dyDescent="0.25">
      <c r="A55" s="2" t="str">
        <f>Bearing1!D56</f>
        <v>30.1791039999999990,-96.9125391999999980</v>
      </c>
      <c r="B55" s="2"/>
      <c r="C55" s="2"/>
      <c r="D55" s="2" t="str">
        <f>Bearing1!E56</f>
        <v>30.1229760000000000,-96.1504735000000000</v>
      </c>
      <c r="E55" s="3">
        <v>48.7</v>
      </c>
      <c r="F55" s="12">
        <v>2.9166666666666664E-2</v>
      </c>
    </row>
    <row r="56" spans="1:6" x14ac:dyDescent="0.25">
      <c r="A56" s="2" t="str">
        <f>Bearing1!D57</f>
        <v>30.1791039999999990,-96.9125391999999980</v>
      </c>
      <c r="B56" s="2"/>
      <c r="C56" s="2"/>
      <c r="D56" s="2" t="str">
        <f>Bearing1!E57</f>
        <v>30.1809870000000000,-96.9297274000000000</v>
      </c>
      <c r="E56" s="3">
        <v>1</v>
      </c>
      <c r="F56" s="12">
        <v>1.3888888888888889E-3</v>
      </c>
    </row>
    <row r="57" spans="1:6" x14ac:dyDescent="0.25">
      <c r="A57" s="2" t="str">
        <f>Bearing1!D58</f>
        <v>29.6509779999999980,-97.5924219999999990</v>
      </c>
      <c r="B57" s="2"/>
      <c r="C57" s="2"/>
      <c r="D57" s="2" t="str">
        <f>Bearing1!E58</f>
        <v>29.6536626000000000,-97.5944600000000000</v>
      </c>
      <c r="E57" s="3">
        <v>0.4</v>
      </c>
      <c r="F57" s="12">
        <v>1.3888888888888889E-3</v>
      </c>
    </row>
    <row r="58" spans="1:6" x14ac:dyDescent="0.25">
      <c r="A58" s="2" t="str">
        <f>Bearing1!D59</f>
        <v>29.5605529999999990,-95.2856610000000050</v>
      </c>
      <c r="B58" s="2"/>
      <c r="C58" s="2"/>
      <c r="D58" s="2" t="str">
        <f>Bearing1!E59</f>
        <v>29.5730210000000000,-95.2878727000000000</v>
      </c>
      <c r="E58" s="3">
        <v>0.9</v>
      </c>
      <c r="F58" s="12">
        <v>1.3888888888888889E-3</v>
      </c>
    </row>
    <row r="59" spans="1:6" x14ac:dyDescent="0.25">
      <c r="A59" s="2" t="str">
        <f>Bearing1!D60</f>
        <v>29.5605529999999990,-95.2856610000000050</v>
      </c>
      <c r="B59" s="2"/>
      <c r="C59" s="2"/>
      <c r="D59" s="2" t="str">
        <f>Bearing1!E60</f>
        <v>29.5688532000000000,-95.2888974000000000</v>
      </c>
      <c r="E59" s="3">
        <v>0.8</v>
      </c>
      <c r="F59" s="12">
        <v>2.0833333333333333E-3</v>
      </c>
    </row>
    <row r="60" spans="1:6" x14ac:dyDescent="0.25">
      <c r="A60" s="2" t="str">
        <f>Bearing1!D61</f>
        <v>29.5801847000000000,-95.3904493000000000</v>
      </c>
      <c r="B60" s="2"/>
      <c r="C60" s="2"/>
      <c r="D60" s="2" t="str">
        <f>Bearing1!E61</f>
        <v>29.5730210000000000,-95.2878727000000000</v>
      </c>
      <c r="E60" s="3">
        <v>9.1999999999999993</v>
      </c>
      <c r="F60" s="12">
        <v>7.6388888888888886E-3</v>
      </c>
    </row>
    <row r="61" spans="1:6" x14ac:dyDescent="0.25">
      <c r="A61" s="2" t="str">
        <f>Bearing1!D62</f>
        <v>29.5801847000000000,-95.3904493000000000</v>
      </c>
      <c r="B61" s="2"/>
      <c r="C61" s="2"/>
      <c r="D61" s="2" t="str">
        <f>Bearing1!E62</f>
        <v>29.5831166000000000,-95.3920476000000000</v>
      </c>
      <c r="E61" s="3">
        <v>0.4</v>
      </c>
      <c r="F61" s="12">
        <v>1.3888888888888889E-3</v>
      </c>
    </row>
    <row r="62" spans="1:6" x14ac:dyDescent="0.25">
      <c r="A62" s="2" t="str">
        <f>Bearing1!D63</f>
        <v>29.5801847000000000,-95.3904493000000000</v>
      </c>
      <c r="B62" s="2"/>
      <c r="C62" s="2"/>
      <c r="D62" s="2" t="str">
        <f>Bearing1!E63</f>
        <v>29.5591682000000000,-95.3926956000000000</v>
      </c>
      <c r="E62" s="3">
        <v>1.9</v>
      </c>
      <c r="F62" s="12">
        <v>2.0833333333333333E-3</v>
      </c>
    </row>
    <row r="63" spans="1:6" x14ac:dyDescent="0.25">
      <c r="A63" s="2" t="str">
        <f>Bearing1!D64</f>
        <v>29.1718456000000010,-95.4334417000000030</v>
      </c>
      <c r="B63" s="2"/>
      <c r="C63" s="2"/>
      <c r="D63" s="2" t="str">
        <f>Bearing1!E64</f>
        <v>29.1830403000000000,-95.4359475000000000</v>
      </c>
      <c r="E63" s="3">
        <v>1.2</v>
      </c>
      <c r="F63" s="12">
        <v>2.7777777777777779E-3</v>
      </c>
    </row>
    <row r="64" spans="1:6" x14ac:dyDescent="0.25">
      <c r="A64" s="2" t="str">
        <f>Bearing1!D65</f>
        <v>29.1718456000000010,-95.4334417000000030</v>
      </c>
      <c r="B64" s="2"/>
      <c r="C64" s="2"/>
      <c r="D64" s="2" t="str">
        <f>Bearing1!E65</f>
        <v>29.1832904000000000,-95.4322897000000000</v>
      </c>
      <c r="E64" s="3">
        <v>1</v>
      </c>
      <c r="F64" s="12">
        <v>2.0833333333333333E-3</v>
      </c>
    </row>
    <row r="65" spans="1:6" x14ac:dyDescent="0.25">
      <c r="A65" s="2" t="str">
        <f>Bearing1!D66</f>
        <v>29.4872064999999990,-95.1074076000000020</v>
      </c>
      <c r="B65" s="2"/>
      <c r="C65" s="2"/>
      <c r="D65" s="2" t="str">
        <f>Bearing1!E66</f>
        <v>29.5202273000000000,-95.0767266000000000</v>
      </c>
      <c r="E65" s="3">
        <v>3.6</v>
      </c>
      <c r="F65" s="12">
        <v>6.2499999999999995E-3</v>
      </c>
    </row>
    <row r="66" spans="1:6" x14ac:dyDescent="0.25">
      <c r="A66" s="2" t="str">
        <f>Bearing1!D67</f>
        <v>29.4872064999999990,-95.1074076000000020</v>
      </c>
      <c r="B66" s="2"/>
      <c r="C66" s="2"/>
      <c r="D66" s="2" t="str">
        <f>Bearing1!E67</f>
        <v>29.4874673000000000,-95.1047292000000000</v>
      </c>
      <c r="E66" s="3">
        <v>2.6</v>
      </c>
      <c r="F66" s="12">
        <v>2.7777777777777779E-3</v>
      </c>
    </row>
    <row r="67" spans="1:6" x14ac:dyDescent="0.25">
      <c r="A67" s="2" t="str">
        <f>Bearing1!D68</f>
        <v>29.4872064999999990,-95.1074076000000020</v>
      </c>
      <c r="B67" s="2"/>
      <c r="C67" s="2"/>
      <c r="D67" s="2" t="str">
        <f>Bearing1!E68</f>
        <v>29.4683853000000000,-95.0899636000000000</v>
      </c>
      <c r="E67" s="3">
        <v>2.5</v>
      </c>
      <c r="F67" s="12">
        <v>4.1666666666666666E-3</v>
      </c>
    </row>
    <row r="68" spans="1:6" x14ac:dyDescent="0.25">
      <c r="A68" s="2" t="str">
        <f>Bearing1!D69</f>
        <v>29.4872064999999990,-95.1074076000000020</v>
      </c>
      <c r="B68" s="2"/>
      <c r="C68" s="2"/>
      <c r="D68" s="2" t="str">
        <f>Bearing1!E69</f>
        <v>29.4624281000000000,-95.0956455000000000</v>
      </c>
      <c r="E68" s="3">
        <v>2.2000000000000002</v>
      </c>
      <c r="F68" s="12">
        <v>2.7777777777777779E-3</v>
      </c>
    </row>
    <row r="69" spans="1:6" x14ac:dyDescent="0.25">
      <c r="A69" s="2" t="str">
        <f>Bearing1!D70</f>
        <v>29.5862109000000010,-96.3316583000000010</v>
      </c>
      <c r="B69" s="2"/>
      <c r="C69" s="2"/>
      <c r="D69" s="2" t="str">
        <f>Bearing1!E70</f>
        <v>29.5857656000000000,-96.3505999000000000</v>
      </c>
      <c r="E69" s="3">
        <v>1.3</v>
      </c>
      <c r="F69" s="12">
        <v>1.3888888888888889E-3</v>
      </c>
    </row>
    <row r="70" spans="1:6" x14ac:dyDescent="0.25">
      <c r="A70" s="2" t="str">
        <f>Bearing1!D71</f>
        <v>29.5862109000000010,-96.3316583000000010</v>
      </c>
      <c r="B70" s="2"/>
      <c r="C70" s="2"/>
      <c r="D70" s="2" t="str">
        <f>Bearing1!E71</f>
        <v>29.5792891000000000,-96.3231265000000000</v>
      </c>
      <c r="E70" s="3">
        <v>0.7</v>
      </c>
      <c r="F70" s="12">
        <v>6.9444444444444447E-4</v>
      </c>
    </row>
    <row r="71" spans="1:6" x14ac:dyDescent="0.25">
      <c r="A71" s="2" t="str">
        <f>Bearing1!D72</f>
        <v>29.5862109000000010,-96.3316583000000010</v>
      </c>
      <c r="B71" s="2"/>
      <c r="C71" s="2"/>
      <c r="D71" s="2" t="str">
        <f>Bearing1!E72</f>
        <v>29.7740251000000000,-96.1368882000000000</v>
      </c>
      <c r="E71" s="3">
        <v>19.100000000000001</v>
      </c>
      <c r="F71" s="12">
        <v>1.5277777777777777E-2</v>
      </c>
    </row>
    <row r="72" spans="1:6" x14ac:dyDescent="0.25">
      <c r="A72" s="2" t="str">
        <f>Bearing1!D73</f>
        <v>29.5862109000000010,-96.3316583000000010</v>
      </c>
      <c r="B72" s="2"/>
      <c r="C72" s="2"/>
      <c r="D72" s="2" t="str">
        <f>Bearing1!E73</f>
        <v>29.5856444000000000,-96.3313415000000000</v>
      </c>
      <c r="E72" s="3">
        <v>0.1</v>
      </c>
      <c r="F72" s="12">
        <v>0</v>
      </c>
    </row>
    <row r="73" spans="1:6" x14ac:dyDescent="0.25">
      <c r="A73" s="2" t="str">
        <f>Bearing1!D74</f>
        <v>29.5862109000000010,-96.3316583000000010</v>
      </c>
      <c r="B73" s="2"/>
      <c r="C73" s="2"/>
      <c r="D73" s="2" t="str">
        <f>Bearing1!E74</f>
        <v>29.5858699000000000,-96.3340607000000000</v>
      </c>
      <c r="E73" s="3">
        <v>0.2</v>
      </c>
      <c r="F73" s="12">
        <v>0</v>
      </c>
    </row>
    <row r="74" spans="1:6" x14ac:dyDescent="0.25">
      <c r="A74" s="2" t="str">
        <f>Bearing1!D75</f>
        <v>29.5862109000000010,-96.3316583000000010</v>
      </c>
      <c r="B74" s="2"/>
      <c r="C74" s="2"/>
      <c r="D74" s="2" t="str">
        <f>Bearing1!E75</f>
        <v>29.5307424000000000,-96.0706097000000000</v>
      </c>
      <c r="E74" s="3">
        <v>16.399999999999999</v>
      </c>
      <c r="F74" s="12">
        <v>1.1805555555555555E-2</v>
      </c>
    </row>
    <row r="75" spans="1:6" x14ac:dyDescent="0.25">
      <c r="A75" s="2" t="str">
        <f>Bearing1!D76</f>
        <v>29.5862109000000010,-96.3316583000000010</v>
      </c>
      <c r="B75" s="2"/>
      <c r="C75" s="2"/>
      <c r="D75" s="2" t="str">
        <f>Bearing1!E76</f>
        <v>29.5792480000000000,-96.3230267000000000</v>
      </c>
      <c r="E75" s="3">
        <v>0.7</v>
      </c>
      <c r="F75" s="12">
        <v>6.9444444444444447E-4</v>
      </c>
    </row>
    <row r="76" spans="1:6" x14ac:dyDescent="0.25">
      <c r="A76" s="2" t="str">
        <f>Bearing1!D77</f>
        <v>29.1638710000000000,-95.4548620000000060</v>
      </c>
      <c r="B76" s="2"/>
      <c r="C76" s="2"/>
      <c r="D76" s="2" t="str">
        <f>Bearing1!E77</f>
        <v>29.0212499999999980,-95.4368589999999980</v>
      </c>
      <c r="E76" s="3">
        <v>10.5</v>
      </c>
      <c r="F76" s="12">
        <v>8.3333333333333332E-3</v>
      </c>
    </row>
    <row r="77" spans="1:6" x14ac:dyDescent="0.25">
      <c r="A77" s="2" t="str">
        <f>Bearing1!D78</f>
        <v>29.1638710000000000,-95.4548620000000060</v>
      </c>
      <c r="B77" s="2"/>
      <c r="C77" s="2"/>
      <c r="D77" s="2" t="str">
        <f>Bearing1!E78</f>
        <v>29.0454575000000000,-95.4613030000000000</v>
      </c>
      <c r="E77" s="3">
        <v>8.6</v>
      </c>
      <c r="F77" s="12">
        <v>7.6388888888888886E-3</v>
      </c>
    </row>
    <row r="78" spans="1:6" x14ac:dyDescent="0.25">
      <c r="A78" s="2" t="str">
        <f>Bearing1!D79</f>
        <v>29.1638710000000000,-95.4548620000000060</v>
      </c>
      <c r="B78" s="2"/>
      <c r="C78" s="2"/>
      <c r="D78" s="2" t="str">
        <f>Bearing1!E79</f>
        <v>29.1830403000000000,-95.4359475000000000</v>
      </c>
      <c r="E78" s="3">
        <v>2.8</v>
      </c>
      <c r="F78" s="12">
        <v>6.2499999999999995E-3</v>
      </c>
    </row>
    <row r="79" spans="1:6" x14ac:dyDescent="0.25">
      <c r="A79" s="2" t="str">
        <f>Bearing1!D80</f>
        <v>29.1638710000000000,-95.4548620000000060</v>
      </c>
      <c r="B79" s="2"/>
      <c r="C79" s="2"/>
      <c r="D79" s="2" t="str">
        <f>Bearing1!E80</f>
        <v>29.1633786000000000,-95.4560165000000000</v>
      </c>
      <c r="E79" s="3">
        <v>0.1</v>
      </c>
      <c r="F79" s="12">
        <v>6.9444444444444447E-4</v>
      </c>
    </row>
    <row r="80" spans="1:6" x14ac:dyDescent="0.25">
      <c r="A80" s="2" t="str">
        <f>Bearing1!D81</f>
        <v>29.1638710000000000,-95.4548620000000060</v>
      </c>
      <c r="B80" s="2"/>
      <c r="C80" s="2"/>
      <c r="D80" s="2" t="str">
        <f>Bearing1!E81</f>
        <v>29.0434622000000000,-95.4469269000000000</v>
      </c>
      <c r="E80" s="3">
        <v>9.6</v>
      </c>
      <c r="F80" s="12">
        <v>7.6388888888888886E-3</v>
      </c>
    </row>
    <row r="81" spans="1:6" x14ac:dyDescent="0.25">
      <c r="A81" s="2" t="str">
        <f>Bearing1!D82</f>
        <v>30.9721459999999990,-95.8894169999999950</v>
      </c>
      <c r="B81" s="2"/>
      <c r="C81" s="2"/>
      <c r="D81" s="2" t="str">
        <f>Bearing1!E82</f>
        <v>30.9645522000000000,-95.8864096000000000</v>
      </c>
      <c r="E81" s="3">
        <v>0.7</v>
      </c>
      <c r="F81" s="12">
        <v>6.9444444444444447E-4</v>
      </c>
    </row>
    <row r="82" spans="1:6" x14ac:dyDescent="0.25">
      <c r="A82" s="2" t="str">
        <f>Bearing1!D83</f>
        <v>30.9721459999999990,-95.8894169999999950</v>
      </c>
      <c r="B82" s="2"/>
      <c r="C82" s="2"/>
      <c r="D82" s="2" t="str">
        <f>Bearing1!E83</f>
        <v>30.9643750000000000,-95.8866853000000000</v>
      </c>
      <c r="E82" s="3">
        <v>0.8</v>
      </c>
      <c r="F82" s="12">
        <v>6.9444444444444447E-4</v>
      </c>
    </row>
    <row r="83" spans="1:6" x14ac:dyDescent="0.25">
      <c r="A83" s="2" t="str">
        <f>Bearing1!D84</f>
        <v>30.9721459999999990,-95.8894169999999950</v>
      </c>
      <c r="B83" s="2"/>
      <c r="C83" s="2"/>
      <c r="D83" s="2" t="str">
        <f>Bearing1!E84</f>
        <v>30.9647295000000000,-95.8866505000000000</v>
      </c>
      <c r="E83" s="3">
        <v>0.7</v>
      </c>
      <c r="F83" s="12">
        <v>6.9444444444444447E-4</v>
      </c>
    </row>
    <row r="84" spans="1:6" x14ac:dyDescent="0.25">
      <c r="A84" s="2" t="str">
        <f>Bearing1!D85</f>
        <v>29.2159672999999990,-96.2855181000000040</v>
      </c>
      <c r="B84" s="2"/>
      <c r="C84" s="2"/>
      <c r="D84" s="2" t="str">
        <f>Bearing1!E85</f>
        <v>29.2000137000000000,-96.2742597000000000</v>
      </c>
      <c r="E84" s="3">
        <v>1.4</v>
      </c>
      <c r="F84" s="12">
        <v>2.0833333333333333E-3</v>
      </c>
    </row>
    <row r="85" spans="1:6" x14ac:dyDescent="0.25">
      <c r="A85" s="2" t="str">
        <f>Bearing1!D86</f>
        <v>29.2159672999999990,-96.2855181000000040</v>
      </c>
      <c r="B85" s="2"/>
      <c r="C85" s="2"/>
      <c r="D85" s="2" t="str">
        <f>Bearing1!E86</f>
        <v>29.1975690000000000,-96.2715557000000000</v>
      </c>
      <c r="E85" s="3">
        <v>1.6</v>
      </c>
      <c r="F85" s="12">
        <v>2.7777777777777779E-3</v>
      </c>
    </row>
    <row r="86" spans="1:6" x14ac:dyDescent="0.25">
      <c r="A86" s="2" t="str">
        <f>Bearing1!D87</f>
        <v>29.2159672999999990,-96.2855181000000040</v>
      </c>
      <c r="B86" s="2"/>
      <c r="C86" s="2"/>
      <c r="D86" s="2" t="str">
        <f>Bearing1!E87</f>
        <v>29.1983642000000000,-96.2925575000000000</v>
      </c>
      <c r="E86" s="3">
        <v>1.8</v>
      </c>
      <c r="F86" s="12">
        <v>2.0833333333333333E-3</v>
      </c>
    </row>
    <row r="87" spans="1:6" x14ac:dyDescent="0.25">
      <c r="A87" s="2" t="str">
        <f>Bearing1!D88</f>
        <v>29.2159672999999990,-96.2855181000000040</v>
      </c>
      <c r="B87" s="2"/>
      <c r="C87" s="2"/>
      <c r="D87" s="2" t="str">
        <f>Bearing1!E88</f>
        <v>29.1792290000000000,-96.2624672000000000</v>
      </c>
      <c r="E87" s="3">
        <v>3.1</v>
      </c>
      <c r="F87" s="12">
        <v>4.8611111111111112E-3</v>
      </c>
    </row>
    <row r="88" spans="1:6" x14ac:dyDescent="0.25">
      <c r="A88" s="2" t="str">
        <f>Bearing1!D89</f>
        <v>29.2159672999999990,-96.2855181000000040</v>
      </c>
      <c r="B88" s="2"/>
      <c r="C88" s="2"/>
      <c r="D88" s="2" t="str">
        <f>Bearing1!E89</f>
        <v>29.1790329000000000,-96.2602766000000000</v>
      </c>
      <c r="E88" s="3">
        <v>3.6</v>
      </c>
      <c r="F88" s="12">
        <v>6.2499999999999995E-3</v>
      </c>
    </row>
    <row r="89" spans="1:6" x14ac:dyDescent="0.25">
      <c r="A89" s="2" t="str">
        <f>Bearing1!D90</f>
        <v>29.0212499999999980,-95.4368589999999980</v>
      </c>
      <c r="B89" s="2"/>
      <c r="C89" s="2"/>
      <c r="D89" s="2" t="str">
        <f>Bearing1!E90</f>
        <v>29.0454575000000000,-95.4613030000000000</v>
      </c>
      <c r="E89" s="3">
        <v>3</v>
      </c>
      <c r="F89" s="12">
        <v>5.5555555555555558E-3</v>
      </c>
    </row>
    <row r="90" spans="1:6" x14ac:dyDescent="0.25">
      <c r="A90" s="2" t="str">
        <f>Bearing1!D91</f>
        <v>29.0212499999999980,-95.4368589999999980</v>
      </c>
      <c r="B90" s="2"/>
      <c r="C90" s="2"/>
      <c r="D90" s="2" t="str">
        <f>Bearing1!E91</f>
        <v>29.0481102000000000,-95.4652421000000000</v>
      </c>
      <c r="E90" s="3">
        <v>3.2</v>
      </c>
      <c r="F90" s="12">
        <v>5.5555555555555558E-3</v>
      </c>
    </row>
    <row r="91" spans="1:6" x14ac:dyDescent="0.25">
      <c r="A91" s="2" t="str">
        <f>Bearing1!D92</f>
        <v>29.0212499999999980,-95.4368589999999980</v>
      </c>
      <c r="B91" s="2"/>
      <c r="C91" s="2"/>
      <c r="D91" s="2" t="str">
        <f>Bearing1!E92</f>
        <v>29.0434622000000000,-95.4469269000000000</v>
      </c>
      <c r="E91" s="3">
        <v>2.1</v>
      </c>
      <c r="F91" s="12">
        <v>3.472222222222222E-3</v>
      </c>
    </row>
    <row r="92" spans="1:6" x14ac:dyDescent="0.25">
      <c r="A92" s="2" t="str">
        <f>Bearing1!D93</f>
        <v>29.3315030000000010,-96.1191189999999980</v>
      </c>
      <c r="B92" s="2"/>
      <c r="C92" s="2"/>
      <c r="D92" s="2" t="str">
        <f>Bearing1!E93</f>
        <v>29.2159672999999990,-96.2855181000000040</v>
      </c>
      <c r="E92" s="3">
        <v>16.8</v>
      </c>
      <c r="F92" s="12">
        <v>1.2499999999999999E-2</v>
      </c>
    </row>
    <row r="93" spans="1:6" x14ac:dyDescent="0.25">
      <c r="A93" s="2" t="str">
        <f>Bearing1!D94</f>
        <v>29.3315030000000010,-96.1191189999999980</v>
      </c>
      <c r="B93" s="2"/>
      <c r="C93" s="2"/>
      <c r="D93" s="2" t="str">
        <f>Bearing1!E94</f>
        <v>29.3270623000000000,-96.1243732000000000</v>
      </c>
      <c r="E93" s="3">
        <v>2.2999999999999998</v>
      </c>
      <c r="F93" s="12">
        <v>2.0833333333333333E-3</v>
      </c>
    </row>
    <row r="94" spans="1:6" x14ac:dyDescent="0.25">
      <c r="A94" s="2" t="str">
        <f>Bearing1!D95</f>
        <v>29.3315030000000010,-96.1191189999999980</v>
      </c>
      <c r="B94" s="2"/>
      <c r="C94" s="2"/>
      <c r="D94" s="2" t="str">
        <f>Bearing1!E95</f>
        <v>29.1569553000000000,-96.3354045000000000</v>
      </c>
      <c r="E94" s="3">
        <v>21.3</v>
      </c>
      <c r="F94" s="12">
        <v>1.2499999999999999E-2</v>
      </c>
    </row>
    <row r="95" spans="1:6" x14ac:dyDescent="0.25">
      <c r="A95" s="2" t="str">
        <f>Bearing1!D96</f>
        <v>29.3315030000000010,-96.1191189999999980</v>
      </c>
      <c r="B95" s="2"/>
      <c r="C95" s="2"/>
      <c r="D95" s="2" t="str">
        <f>Bearing1!E96</f>
        <v>29.1792290000000000,-96.2624672000000000</v>
      </c>
      <c r="E95" s="3">
        <v>16.399999999999999</v>
      </c>
      <c r="F95" s="12">
        <v>1.1111111111111112E-2</v>
      </c>
    </row>
    <row r="96" spans="1:6" x14ac:dyDescent="0.25">
      <c r="A96" s="2" t="str">
        <f>Bearing1!D97</f>
        <v>29.3315030000000010,-96.1191189999999980</v>
      </c>
      <c r="B96" s="2"/>
      <c r="C96" s="2"/>
      <c r="D96" s="2" t="str">
        <f>Bearing1!E97</f>
        <v>29.3921623000000000,-96.0786186000000000</v>
      </c>
      <c r="E96" s="3">
        <v>5.6</v>
      </c>
      <c r="F96" s="12">
        <v>4.1666666666666666E-3</v>
      </c>
    </row>
    <row r="97" spans="1:6" x14ac:dyDescent="0.25">
      <c r="A97" s="2" t="str">
        <f>Bearing1!D98</f>
        <v>29.3315030000000010,-96.1191189999999980</v>
      </c>
      <c r="B97" s="2"/>
      <c r="C97" s="2"/>
      <c r="D97" s="2" t="str">
        <f>Bearing1!E98</f>
        <v>29.1790329000000000,-96.2602766000000000</v>
      </c>
      <c r="E97" s="3">
        <v>16.3</v>
      </c>
      <c r="F97" s="12">
        <v>9.7222222222222224E-3</v>
      </c>
    </row>
    <row r="98" spans="1:6" x14ac:dyDescent="0.25">
      <c r="A98" s="2" t="str">
        <f>Bearing1!D99</f>
        <v>29.5548955000000010,-95.6938702000000060</v>
      </c>
      <c r="B98" s="2"/>
      <c r="C98" s="2"/>
      <c r="D98" s="2" t="str">
        <f>Bearing1!E99</f>
        <v>29.5584388000000000,-95.6936739000000000</v>
      </c>
      <c r="E98" s="3">
        <v>4.2</v>
      </c>
      <c r="F98" s="12">
        <v>5.5555555555555558E-3</v>
      </c>
    </row>
    <row r="99" spans="1:6" x14ac:dyDescent="0.25">
      <c r="A99" s="2" t="str">
        <f>Bearing1!D100</f>
        <v>29.5548955000000010,-95.6938702000000060</v>
      </c>
      <c r="B99" s="2"/>
      <c r="C99" s="2"/>
      <c r="D99" s="2" t="str">
        <f>Bearing1!E100</f>
        <v>29.5446672000000000,-95.6985230000000000</v>
      </c>
      <c r="E99" s="3">
        <v>0.8</v>
      </c>
      <c r="F99" s="12">
        <v>6.9444444444444447E-4</v>
      </c>
    </row>
    <row r="100" spans="1:6" x14ac:dyDescent="0.25">
      <c r="A100" s="2" t="str">
        <f>Bearing1!D101</f>
        <v>29.5548955000000010,-95.6938702000000060</v>
      </c>
      <c r="B100" s="2"/>
      <c r="C100" s="2"/>
      <c r="D100" s="2" t="str">
        <f>Bearing1!E101</f>
        <v>29.5481032000000000,-95.6999320000000000</v>
      </c>
      <c r="E100" s="3">
        <v>0.6</v>
      </c>
      <c r="F100" s="12">
        <v>6.9444444444444447E-4</v>
      </c>
    </row>
    <row r="101" spans="1:6" x14ac:dyDescent="0.25">
      <c r="A101" s="2" t="str">
        <f>Bearing1!D102</f>
        <v>29.5548955000000010,-95.6938702000000060</v>
      </c>
      <c r="B101" s="2"/>
      <c r="C101" s="2"/>
      <c r="D101" s="2" t="str">
        <f>Bearing1!E102</f>
        <v>29.5573243000000000,-95.6941865200000000</v>
      </c>
      <c r="E101" s="3">
        <v>0.7</v>
      </c>
      <c r="F101" s="12">
        <v>1.3888888888888889E-3</v>
      </c>
    </row>
    <row r="102" spans="1:6" x14ac:dyDescent="0.25">
      <c r="A102" s="2" t="str">
        <f>Bearing1!D103</f>
        <v>29.9795212999999980,-95.7170389000000060</v>
      </c>
      <c r="B102" s="2"/>
      <c r="C102" s="2"/>
      <c r="D102" s="2" t="str">
        <f>Bearing1!E103</f>
        <v>29.9745420000000000,-95.7013577000000000</v>
      </c>
      <c r="E102" s="3">
        <v>4.4000000000000004</v>
      </c>
      <c r="F102" s="12">
        <v>4.8611111111111112E-3</v>
      </c>
    </row>
    <row r="103" spans="1:6" x14ac:dyDescent="0.25">
      <c r="A103" s="2" t="str">
        <f>Bearing1!D104</f>
        <v>29.9795212999999980,-95.7170389000000060</v>
      </c>
      <c r="B103" s="2"/>
      <c r="C103" s="2"/>
      <c r="D103" s="2" t="str">
        <f>Bearing1!E104</f>
        <v>29.9912230000000000,-95.7473083000000000</v>
      </c>
      <c r="E103" s="3">
        <v>2</v>
      </c>
      <c r="F103" s="12">
        <v>2.0833333333333333E-3</v>
      </c>
    </row>
    <row r="104" spans="1:6" x14ac:dyDescent="0.25">
      <c r="A104" s="2" t="str">
        <f>Bearing1!D105</f>
        <v>29.9795212999999980,-95.7170389000000060</v>
      </c>
      <c r="B104" s="2"/>
      <c r="C104" s="2"/>
      <c r="D104" s="2" t="str">
        <f>Bearing1!E105</f>
        <v>29.5411828000000000,-95.7093482000000000</v>
      </c>
      <c r="E104" s="3">
        <v>39.5</v>
      </c>
      <c r="F104" s="12">
        <v>2.7083333333333334E-2</v>
      </c>
    </row>
    <row r="105" spans="1:6" x14ac:dyDescent="0.25">
      <c r="A105" s="2" t="str">
        <f>Bearing1!D106</f>
        <v>29.9795212999999980,-95.7170389000000060</v>
      </c>
      <c r="B105" s="2"/>
      <c r="C105" s="2"/>
      <c r="D105" s="2" t="str">
        <f>Bearing1!E106</f>
        <v>29.9894774000000000,-95.7396155000000000</v>
      </c>
      <c r="E105" s="3">
        <v>1.6</v>
      </c>
      <c r="F105" s="12">
        <v>1.3888888888888889E-3</v>
      </c>
    </row>
    <row r="106" spans="1:6" x14ac:dyDescent="0.25">
      <c r="A106" s="2" t="str">
        <f>Bearing1!D107</f>
        <v>30.2163550000000000,-97.3067320000000000</v>
      </c>
      <c r="B106" s="2"/>
      <c r="C106" s="2"/>
      <c r="D106" s="2" t="str">
        <f>Bearing1!E107</f>
        <v>30.1079361000000000,-97.3360557200000000</v>
      </c>
      <c r="E106" s="3">
        <v>9.9</v>
      </c>
      <c r="F106" s="12">
        <v>1.0416666666666666E-2</v>
      </c>
    </row>
    <row r="107" spans="1:6" x14ac:dyDescent="0.25">
      <c r="A107" s="2" t="str">
        <f>Bearing1!D108</f>
        <v>30.2163550000000000,-97.3067320000000000</v>
      </c>
      <c r="B107" s="2"/>
      <c r="C107" s="2"/>
      <c r="D107" s="2" t="str">
        <f>Bearing1!E108</f>
        <v>30.1098949000000000,-97.3066931000000000</v>
      </c>
      <c r="E107" s="3">
        <v>8.3000000000000007</v>
      </c>
      <c r="F107" s="12">
        <v>8.3333333333333332E-3</v>
      </c>
    </row>
    <row r="108" spans="1:6" x14ac:dyDescent="0.25">
      <c r="A108" s="2" t="str">
        <f>Bearing1!D109</f>
        <v>30.2163550000000000,-97.3067320000000000</v>
      </c>
      <c r="B108" s="2"/>
      <c r="C108" s="2"/>
      <c r="D108" s="2" t="str">
        <f>Bearing1!E109</f>
        <v>30.1035100000000000,-97.2864758000000000</v>
      </c>
      <c r="E108" s="3">
        <v>9.5</v>
      </c>
      <c r="F108" s="12">
        <v>9.0277777777777787E-3</v>
      </c>
    </row>
    <row r="109" spans="1:6" x14ac:dyDescent="0.25">
      <c r="A109" s="2" t="str">
        <f>Bearing1!D110</f>
        <v>30.2163550000000000,-97.3067320000000000</v>
      </c>
      <c r="B109" s="2"/>
      <c r="C109" s="2"/>
      <c r="D109" s="2" t="str">
        <f>Bearing1!E110</f>
        <v>30.1041014000000000,-97.3334944000000000</v>
      </c>
      <c r="E109" s="3">
        <v>9.9</v>
      </c>
      <c r="F109" s="12">
        <v>1.1805555555555555E-2</v>
      </c>
    </row>
    <row r="110" spans="1:6" x14ac:dyDescent="0.25">
      <c r="A110" s="2" t="str">
        <f>Bearing1!D111</f>
        <v>30.2163550000000000,-97.3067320000000000</v>
      </c>
      <c r="B110" s="2"/>
      <c r="C110" s="2"/>
      <c r="D110" s="2" t="str">
        <f>Bearing1!E111</f>
        <v>30.2202428000000000,-97.7550061000000000</v>
      </c>
      <c r="E110" s="3">
        <v>37.799999999999997</v>
      </c>
      <c r="F110" s="12">
        <v>2.9166666666666664E-2</v>
      </c>
    </row>
    <row r="111" spans="1:6" x14ac:dyDescent="0.25">
      <c r="A111" s="2" t="str">
        <f>Bearing1!D112</f>
        <v>29.8311140000000000,-98.0812680000000000</v>
      </c>
      <c r="B111" s="2"/>
      <c r="C111" s="2"/>
      <c r="D111" s="2" t="str">
        <f>Bearing1!E112</f>
        <v>29.6841883000000000,-98.1285572000000000</v>
      </c>
      <c r="E111" s="3">
        <v>14.9</v>
      </c>
      <c r="F111" s="12">
        <v>1.7361111111111112E-2</v>
      </c>
    </row>
    <row r="112" spans="1:6" x14ac:dyDescent="0.25">
      <c r="A112" s="2" t="str">
        <f>Bearing1!D113</f>
        <v>29.8311140000000000,-98.0812680000000000</v>
      </c>
      <c r="B112" s="2"/>
      <c r="C112" s="2"/>
      <c r="D112" s="2" t="str">
        <f>Bearing1!E113</f>
        <v>29.6752202000000000,-98.1545534000000000</v>
      </c>
      <c r="E112" s="3">
        <v>16.5</v>
      </c>
      <c r="F112" s="12">
        <v>1.5972222222222224E-2</v>
      </c>
    </row>
    <row r="113" spans="1:6" x14ac:dyDescent="0.25">
      <c r="A113" s="2" t="str">
        <f>Bearing1!D114</f>
        <v>29.8311140000000000,-98.0812680000000000</v>
      </c>
      <c r="B113" s="2"/>
      <c r="C113" s="2"/>
      <c r="D113" s="2" t="str">
        <f>Bearing1!E114</f>
        <v>29.6762810000000000,-98.1581520000000000</v>
      </c>
      <c r="E113" s="3">
        <v>17.2</v>
      </c>
      <c r="F113" s="12">
        <v>1.8055555555555557E-2</v>
      </c>
    </row>
    <row r="114" spans="1:6" x14ac:dyDescent="0.25">
      <c r="A114" s="2" t="str">
        <f>Bearing1!D115</f>
        <v>29.8311140000000000,-98.0812680000000000</v>
      </c>
      <c r="B114" s="2"/>
      <c r="C114" s="2"/>
      <c r="D114" s="2" t="str">
        <f>Bearing1!E115</f>
        <v>29.7310240000000000,-98.0794999000000000</v>
      </c>
      <c r="E114" s="3">
        <v>10.1</v>
      </c>
      <c r="F114" s="12">
        <v>1.2499999999999999E-2</v>
      </c>
    </row>
    <row r="115" spans="1:6" x14ac:dyDescent="0.25">
      <c r="A115" s="2" t="str">
        <f>Bearing1!D116</f>
        <v>29.8311140000000000,-98.0812680000000000</v>
      </c>
      <c r="B115" s="2"/>
      <c r="C115" s="2"/>
      <c r="D115" s="2" t="str">
        <f>Bearing1!E116</f>
        <v>30.6449516000000000,-97.6914371000000000</v>
      </c>
      <c r="E115" s="3">
        <v>79.3</v>
      </c>
      <c r="F115" s="12">
        <v>5.9027777777777783E-2</v>
      </c>
    </row>
    <row r="116" spans="1:6" x14ac:dyDescent="0.25">
      <c r="A116" s="2" t="str">
        <f>Bearing1!D117</f>
        <v>30.1593770000000000,-95.9114680000000000</v>
      </c>
      <c r="B116" s="2"/>
      <c r="C116" s="2"/>
      <c r="D116" s="2" t="str">
        <f>Bearing1!E117</f>
        <v>30.1791039999999990,-96.9125391999999980</v>
      </c>
      <c r="E116" s="3">
        <v>65.7</v>
      </c>
      <c r="F116" s="12">
        <v>4.2361111111111106E-2</v>
      </c>
    </row>
    <row r="117" spans="1:6" x14ac:dyDescent="0.25">
      <c r="A117" s="2" t="str">
        <f>Bearing1!D118</f>
        <v>30.1593770000000000,-95.9114680000000000</v>
      </c>
      <c r="B117" s="2"/>
      <c r="C117" s="2"/>
      <c r="D117" s="2" t="str">
        <f>Bearing1!E118</f>
        <v>29.9745420000000000,-95.7013577000000000</v>
      </c>
      <c r="E117" s="3">
        <v>22.1</v>
      </c>
      <c r="F117" s="12">
        <v>1.8055555555555557E-2</v>
      </c>
    </row>
    <row r="118" spans="1:6" x14ac:dyDescent="0.25">
      <c r="A118" s="2" t="str">
        <f>Bearing1!D119</f>
        <v>30.1593770000000000,-95.9114680000000000</v>
      </c>
      <c r="B118" s="2"/>
      <c r="C118" s="2"/>
      <c r="D118" s="2" t="str">
        <f>Bearing1!E119</f>
        <v>29.9912230000000000,-95.7473083000000000</v>
      </c>
      <c r="E118" s="3">
        <v>19.7</v>
      </c>
      <c r="F118" s="12">
        <v>1.5972222222222224E-2</v>
      </c>
    </row>
    <row r="119" spans="1:6" x14ac:dyDescent="0.25">
      <c r="A119" s="2" t="str">
        <f>Bearing1!D120</f>
        <v>30.1593770000000000,-95.9114680000000000</v>
      </c>
      <c r="B119" s="2"/>
      <c r="C119" s="2"/>
      <c r="D119" s="2" t="str">
        <f>Bearing1!E120</f>
        <v>30.0669166000000000,-95.9219863000000000</v>
      </c>
      <c r="E119" s="3">
        <v>7.8</v>
      </c>
      <c r="F119" s="12">
        <v>8.3333333333333332E-3</v>
      </c>
    </row>
    <row r="120" spans="1:6" x14ac:dyDescent="0.25">
      <c r="A120" s="2" t="str">
        <f>Bearing1!D121</f>
        <v>30.1593770000000000,-95.9114680000000000</v>
      </c>
      <c r="B120" s="2"/>
      <c r="C120" s="2"/>
      <c r="D120" s="2" t="str">
        <f>Bearing1!E121</f>
        <v>30.0644580000000000,-95.9077447000000000</v>
      </c>
      <c r="E120" s="3">
        <v>8.6</v>
      </c>
      <c r="F120" s="12">
        <v>9.0277777777777787E-3</v>
      </c>
    </row>
    <row r="121" spans="1:6" x14ac:dyDescent="0.25">
      <c r="A121" s="2" t="str">
        <f>Bearing1!D122</f>
        <v>30.1593770000000000,-95.9114680000000000</v>
      </c>
      <c r="B121" s="2"/>
      <c r="C121" s="2"/>
      <c r="D121" s="2" t="str">
        <f>Bearing1!E122</f>
        <v>29.5411828000000000,-95.7093482000000000</v>
      </c>
      <c r="E121" s="3">
        <v>53.6</v>
      </c>
      <c r="F121" s="12">
        <v>3.9583333333333331E-2</v>
      </c>
    </row>
    <row r="122" spans="1:6" x14ac:dyDescent="0.25">
      <c r="A122" s="2" t="str">
        <f>Bearing1!D123</f>
        <v>30.1593770000000000,-95.9114680000000000</v>
      </c>
      <c r="B122" s="2"/>
      <c r="C122" s="2"/>
      <c r="D122" s="2" t="str">
        <f>Bearing1!E123</f>
        <v>30.1229760000000000,-96.1504735000000000</v>
      </c>
      <c r="E122" s="3">
        <v>17.100000000000001</v>
      </c>
      <c r="F122" s="12">
        <v>1.3194444444444444E-2</v>
      </c>
    </row>
    <row r="123" spans="1:6" x14ac:dyDescent="0.25">
      <c r="A123" s="2" t="str">
        <f>Bearing1!D124</f>
        <v>30.1593770000000000,-95.9114680000000000</v>
      </c>
      <c r="B123" s="2"/>
      <c r="C123" s="2"/>
      <c r="D123" s="2" t="str">
        <f>Bearing1!E124</f>
        <v>29.9894774000000000,-95.7396155000000000</v>
      </c>
      <c r="E123" s="3">
        <v>19.399999999999999</v>
      </c>
      <c r="F123" s="12">
        <v>1.5972222222222224E-2</v>
      </c>
    </row>
    <row r="124" spans="1:6" x14ac:dyDescent="0.25">
      <c r="A124" s="2" t="str">
        <f>Bearing1!D125</f>
        <v>30.1593770000000000,-95.9114680000000000</v>
      </c>
      <c r="B124" s="2"/>
      <c r="C124" s="2"/>
      <c r="D124" s="2" t="str">
        <f>Bearing1!E125</f>
        <v>30.1405836000000000,-96.3965285000000000</v>
      </c>
      <c r="E124" s="3">
        <v>32.299999999999997</v>
      </c>
      <c r="F124" s="12">
        <v>2.361111111111111E-2</v>
      </c>
    </row>
    <row r="125" spans="1:6" x14ac:dyDescent="0.25">
      <c r="A125" s="2" t="str">
        <f>Bearing1!D126</f>
        <v>29.4292547000000000,-95.0650070000000000</v>
      </c>
      <c r="B125" s="2"/>
      <c r="C125" s="2"/>
      <c r="D125" s="2" t="str">
        <f>Bearing1!E126</f>
        <v>29.4683853000000000,-95.0899636000000000</v>
      </c>
      <c r="E125" s="3">
        <v>4.2</v>
      </c>
      <c r="F125" s="12">
        <v>4.1666666666666666E-3</v>
      </c>
    </row>
    <row r="126" spans="1:6" x14ac:dyDescent="0.25">
      <c r="A126" s="2" t="str">
        <f>Bearing1!D127</f>
        <v>29.4292547000000000,-95.0650070000000000</v>
      </c>
      <c r="B126" s="2"/>
      <c r="C126" s="2"/>
      <c r="D126" s="2" t="str">
        <f>Bearing1!E127</f>
        <v>29.4042255000000000,-95.0384951000000000</v>
      </c>
      <c r="E126" s="3">
        <v>2.6</v>
      </c>
      <c r="F126" s="12">
        <v>2.7777777777777779E-3</v>
      </c>
    </row>
    <row r="127" spans="1:6" x14ac:dyDescent="0.25">
      <c r="A127" s="2" t="str">
        <f>Bearing1!D128</f>
        <v>29.4292547000000000,-95.0650070000000000</v>
      </c>
      <c r="B127" s="2"/>
      <c r="C127" s="2"/>
      <c r="D127" s="2" t="str">
        <f>Bearing1!E128</f>
        <v>29.2631900000000000,-94.8358250000000000</v>
      </c>
      <c r="E127" s="3">
        <v>19.899999999999999</v>
      </c>
      <c r="F127" s="12">
        <v>1.6666666666666666E-2</v>
      </c>
    </row>
    <row r="128" spans="1:6" x14ac:dyDescent="0.25">
      <c r="A128" s="2" t="str">
        <f>Bearing1!D129</f>
        <v>29.4292547000000000,-95.0650070000000000</v>
      </c>
      <c r="B128" s="2"/>
      <c r="C128" s="2"/>
      <c r="D128" s="2" t="str">
        <f>Bearing1!E129</f>
        <v>29.6306010000000000,-95.2368543000000000</v>
      </c>
      <c r="E128" s="3">
        <v>18.399999999999999</v>
      </c>
      <c r="F128" s="12">
        <v>1.5277777777777777E-2</v>
      </c>
    </row>
    <row r="129" spans="1:6" x14ac:dyDescent="0.25">
      <c r="A129" s="2" t="str">
        <f>Bearing1!D130</f>
        <v>29.8010536000000000,-95.0020730000000000</v>
      </c>
      <c r="B129" s="2"/>
      <c r="C129" s="2"/>
      <c r="D129" s="2" t="str">
        <f>Bearing1!E130</f>
        <v>29.7980518000000000,-95.0347870000000000</v>
      </c>
      <c r="E129" s="3">
        <v>2.9</v>
      </c>
      <c r="F129" s="12">
        <v>3.472222222222222E-3</v>
      </c>
    </row>
    <row r="130" spans="1:6" x14ac:dyDescent="0.25">
      <c r="A130" s="2" t="str">
        <f>Bearing1!D131</f>
        <v>29.8010536000000000,-95.0020730000000000</v>
      </c>
      <c r="B130" s="2"/>
      <c r="C130" s="2"/>
      <c r="D130" s="2" t="str">
        <f>Bearing1!E131</f>
        <v>29.7955378000000000,-95.0355430000000000</v>
      </c>
      <c r="E130" s="3">
        <v>5</v>
      </c>
      <c r="F130" s="12">
        <v>5.5555555555555558E-3</v>
      </c>
    </row>
    <row r="131" spans="1:6" x14ac:dyDescent="0.25">
      <c r="A131" s="2" t="str">
        <f>Bearing1!D132</f>
        <v>29.8010536000000000,-95.0020730000000000</v>
      </c>
      <c r="B131" s="2"/>
      <c r="C131" s="2"/>
      <c r="D131" s="2" t="str">
        <f>Bearing1!E132</f>
        <v>29.7763578000000000,-94.9795931000000000</v>
      </c>
      <c r="E131" s="3">
        <v>2.8</v>
      </c>
      <c r="F131" s="12">
        <v>4.8611111111111112E-3</v>
      </c>
    </row>
    <row r="132" spans="1:6" x14ac:dyDescent="0.25">
      <c r="A132" s="2" t="str">
        <f>Bearing1!D133</f>
        <v>29.8010536000000000,-95.0020730000000000</v>
      </c>
      <c r="B132" s="2"/>
      <c r="C132" s="2"/>
      <c r="D132" s="2" t="str">
        <f>Bearing1!E133</f>
        <v>30.0931330000000000,-93.7681878000000000</v>
      </c>
      <c r="E132" s="3">
        <v>83</v>
      </c>
      <c r="F132" s="12">
        <v>5.486111111111111E-2</v>
      </c>
    </row>
    <row r="133" spans="1:6" x14ac:dyDescent="0.25">
      <c r="A133" s="2" t="str">
        <f>Bearing1!D134</f>
        <v>29.8010536000000000,-95.0020730000000000</v>
      </c>
      <c r="B133" s="2"/>
      <c r="C133" s="2"/>
      <c r="D133" s="2" t="str">
        <f>Bearing1!E134</f>
        <v>30.1209141000000000,-94.1699359000000000</v>
      </c>
      <c r="E133" s="3">
        <v>65.3</v>
      </c>
      <c r="F133" s="12">
        <v>4.4444444444444446E-2</v>
      </c>
    </row>
    <row r="134" spans="1:6" x14ac:dyDescent="0.25">
      <c r="A134" s="2" t="str">
        <f>Bearing1!D135</f>
        <v>31.1367696000000000,-97.3316850000000000</v>
      </c>
      <c r="B134" s="2"/>
      <c r="C134" s="2"/>
      <c r="D134" s="2" t="str">
        <f>Bearing1!E135</f>
        <v>31.1387998000000000,-97.3313951000000000</v>
      </c>
      <c r="E134" s="3">
        <v>1.9</v>
      </c>
      <c r="F134" s="12">
        <v>2.7777777777777779E-3</v>
      </c>
    </row>
    <row r="135" spans="1:6" x14ac:dyDescent="0.25">
      <c r="A135" s="2" t="str">
        <f>Bearing1!D136</f>
        <v>31.1367696000000000,-97.3316850000000000</v>
      </c>
      <c r="B135" s="2"/>
      <c r="C135" s="2"/>
      <c r="D135" s="2" t="str">
        <f>Bearing1!E136</f>
        <v>31.1429319000000000,-97.3288314000000000</v>
      </c>
      <c r="E135" s="3">
        <v>2.5</v>
      </c>
      <c r="F135" s="12">
        <v>3.472222222222222E-3</v>
      </c>
    </row>
    <row r="136" spans="1:6" x14ac:dyDescent="0.25">
      <c r="A136" s="2" t="str">
        <f>Bearing1!D137</f>
        <v>31.1367696000000000,-97.3316850000000000</v>
      </c>
      <c r="B136" s="2"/>
      <c r="C136" s="2"/>
      <c r="D136" s="2" t="str">
        <f>Bearing1!E137</f>
        <v>31.0825363000000000,-97.4610988000000000</v>
      </c>
      <c r="E136" s="3">
        <v>12.1</v>
      </c>
      <c r="F136" s="12">
        <v>1.1805555555555555E-2</v>
      </c>
    </row>
    <row r="137" spans="1:6" x14ac:dyDescent="0.25">
      <c r="A137" s="2" t="str">
        <f>Bearing1!D138</f>
        <v>31.1367696000000000,-97.3316850000000000</v>
      </c>
      <c r="B137" s="2"/>
      <c r="C137" s="2"/>
      <c r="D137" s="2" t="str">
        <f>Bearing1!E138</f>
        <v>31.1160570000000000,-97.4135852000000000</v>
      </c>
      <c r="E137" s="3">
        <v>6.4</v>
      </c>
      <c r="F137" s="12">
        <v>6.9444444444444441E-3</v>
      </c>
    </row>
    <row r="138" spans="1:6" x14ac:dyDescent="0.25">
      <c r="A138" s="2" t="str">
        <f>Bearing1!D139</f>
        <v>31.1367696000000000,-97.3316850000000000</v>
      </c>
      <c r="B138" s="2"/>
      <c r="C138" s="2"/>
      <c r="D138" s="2" t="str">
        <f>Bearing1!E139</f>
        <v>30.6449516000000000,-97.6914371000000000</v>
      </c>
      <c r="E138" s="3">
        <v>42.5</v>
      </c>
      <c r="F138" s="12">
        <v>2.7083333333333334E-2</v>
      </c>
    </row>
    <row r="139" spans="1:6" x14ac:dyDescent="0.25">
      <c r="A139" s="2" t="str">
        <f>Bearing1!D140</f>
        <v>32.7165620000000000,-96.3232060000000000</v>
      </c>
      <c r="B139" s="2"/>
      <c r="C139" s="2"/>
      <c r="D139" s="2" t="str">
        <f>Bearing1!E140</f>
        <v>32.7038990000000000,-96.2769057000000000</v>
      </c>
      <c r="E139" s="3">
        <v>4.7</v>
      </c>
      <c r="F139" s="12">
        <v>4.8611111111111112E-3</v>
      </c>
    </row>
    <row r="140" spans="1:6" x14ac:dyDescent="0.25">
      <c r="A140" s="2" t="str">
        <f>Bearing1!D141</f>
        <v>32.7165620000000000,-96.3232060000000000</v>
      </c>
      <c r="B140" s="2"/>
      <c r="C140" s="2"/>
      <c r="D140" s="2" t="str">
        <f>Bearing1!E141</f>
        <v>32.7388691000000000,-96.3063683000000000</v>
      </c>
      <c r="E140" s="3">
        <v>2.5</v>
      </c>
      <c r="F140" s="12">
        <v>4.1666666666666666E-3</v>
      </c>
    </row>
    <row r="141" spans="1:6" x14ac:dyDescent="0.25">
      <c r="A141" s="2" t="str">
        <f>Bearing1!D142</f>
        <v>32.7165620000000000,-96.3232060000000000</v>
      </c>
      <c r="B141" s="2"/>
      <c r="C141" s="2"/>
      <c r="D141" s="2" t="str">
        <f>Bearing1!E142</f>
        <v>32.6995413000000000,-96.2763062000000000</v>
      </c>
      <c r="E141" s="3">
        <v>3.4</v>
      </c>
      <c r="F141" s="12">
        <v>3.472222222222222E-3</v>
      </c>
    </row>
    <row r="142" spans="1:6" x14ac:dyDescent="0.25">
      <c r="A142" s="2" t="str">
        <f>Bearing1!D143</f>
        <v>32.7165620000000000,-96.3232060000000000</v>
      </c>
      <c r="B142" s="2"/>
      <c r="C142" s="2"/>
      <c r="D142" s="2" t="str">
        <f>Bearing1!E143</f>
        <v>32.7001257000000000,-96.2786498000000000</v>
      </c>
      <c r="E142" s="3">
        <v>3.5</v>
      </c>
      <c r="F142" s="12">
        <v>2.7777777777777779E-3</v>
      </c>
    </row>
    <row r="143" spans="1:6" x14ac:dyDescent="0.25">
      <c r="A143" s="2" t="str">
        <f>Bearing1!D144</f>
        <v>32.7165620000000000,-96.3232060000000000</v>
      </c>
      <c r="B143" s="2"/>
      <c r="C143" s="2"/>
      <c r="D143" s="2" t="str">
        <f>Bearing1!E144</f>
        <v>32.7435502000000000,-96.4499137000000000</v>
      </c>
      <c r="E143" s="3">
        <v>8.8000000000000007</v>
      </c>
      <c r="F143" s="12">
        <v>6.9444444444444441E-3</v>
      </c>
    </row>
    <row r="144" spans="1:6" x14ac:dyDescent="0.25">
      <c r="A144" s="2" t="str">
        <f>Bearing1!D145</f>
        <v>33.0242700000000000,-97.2783200000000000</v>
      </c>
      <c r="B144" s="2"/>
      <c r="C144" s="2"/>
      <c r="D144" s="2" t="str">
        <f>Bearing1!E145</f>
        <v>33.0251074000000000,-97.2736378000000000</v>
      </c>
      <c r="E144" s="3">
        <v>4</v>
      </c>
      <c r="F144" s="12">
        <v>2.7777777777777779E-3</v>
      </c>
    </row>
    <row r="145" spans="1:6" x14ac:dyDescent="0.25">
      <c r="A145" s="2" t="str">
        <f>Bearing1!D146</f>
        <v>33.0242700000000000,-97.2783200000000000</v>
      </c>
      <c r="B145" s="2"/>
      <c r="C145" s="2"/>
      <c r="D145" s="2" t="str">
        <f>Bearing1!E146</f>
        <v>33.0139980000000000,-97.2217412000000000</v>
      </c>
      <c r="E145" s="3">
        <v>7.6</v>
      </c>
      <c r="F145" s="12">
        <v>7.6388888888888886E-3</v>
      </c>
    </row>
    <row r="146" spans="1:6" x14ac:dyDescent="0.25">
      <c r="A146" s="2" t="str">
        <f>Bearing1!D147</f>
        <v>33.0242700000000000,-97.2783200000000000</v>
      </c>
      <c r="B146" s="2"/>
      <c r="C146" s="2"/>
      <c r="D146" s="2" t="str">
        <f>Bearing1!E147</f>
        <v>33.0256727000000000,-97.2745497000000000</v>
      </c>
      <c r="E146" s="3">
        <v>6.9</v>
      </c>
      <c r="F146" s="12">
        <v>5.5555555555555558E-3</v>
      </c>
    </row>
    <row r="147" spans="1:6" x14ac:dyDescent="0.25">
      <c r="A147" s="2" t="str">
        <f>Bearing1!D148</f>
        <v>33.0242700000000000,-97.2783200000000000</v>
      </c>
      <c r="B147" s="2"/>
      <c r="C147" s="2"/>
      <c r="D147" s="2" t="str">
        <f>Bearing1!E148</f>
        <v>33.0280180000000000,-97.2725044000000000</v>
      </c>
      <c r="E147" s="3">
        <v>6.7</v>
      </c>
      <c r="F147" s="12">
        <v>5.5555555555555558E-3</v>
      </c>
    </row>
    <row r="148" spans="1:6" x14ac:dyDescent="0.25">
      <c r="A148" s="2" t="str">
        <f>Bearing1!D149</f>
        <v>33.0242700000000000,-97.2783200000000000</v>
      </c>
      <c r="B148" s="2"/>
      <c r="C148" s="2"/>
      <c r="D148" s="2" t="str">
        <f>Bearing1!E149</f>
        <v>32.9579489000000000,-97.3078648000000000</v>
      </c>
      <c r="E148" s="3">
        <v>5.2</v>
      </c>
      <c r="F148" s="12">
        <v>3.472222222222222E-3</v>
      </c>
    </row>
    <row r="149" spans="1:6" x14ac:dyDescent="0.25">
      <c r="A149" s="2" t="str">
        <f>Bearing1!D150</f>
        <v>33.0242700000000000,-97.2783200000000000</v>
      </c>
      <c r="B149" s="2"/>
      <c r="C149" s="2"/>
      <c r="D149" s="2" t="str">
        <f>Bearing1!E150</f>
        <v>33.1929580000000000,-97.0961866000000000</v>
      </c>
      <c r="E149" s="3">
        <v>22.7</v>
      </c>
      <c r="F149" s="12">
        <v>1.6666666666666666E-2</v>
      </c>
    </row>
    <row r="150" spans="1:6" x14ac:dyDescent="0.25">
      <c r="A150" s="2" t="str">
        <f>Bearing1!D151</f>
        <v>33.0242700000000000,-97.2783200000000000</v>
      </c>
      <c r="B150" s="2"/>
      <c r="C150" s="2"/>
      <c r="D150" s="2" t="str">
        <f>Bearing1!E151</f>
        <v>32.8938018000000000,-97.2891908000000000</v>
      </c>
      <c r="E150" s="3">
        <v>10.9</v>
      </c>
      <c r="F150" s="12">
        <v>9.7222222222222224E-3</v>
      </c>
    </row>
    <row r="151" spans="1:6" x14ac:dyDescent="0.25">
      <c r="A151" s="2" t="str">
        <f>Bearing1!D152</f>
        <v>33.0242700000000000,-97.2783200000000000</v>
      </c>
      <c r="B151" s="2"/>
      <c r="C151" s="2"/>
      <c r="D151" s="2" t="str">
        <f>Bearing1!E152</f>
        <v>32.9658063000000000,-97.4143779000000000</v>
      </c>
      <c r="E151" s="3">
        <v>17.5</v>
      </c>
      <c r="F151" s="12">
        <v>1.1111111111111112E-2</v>
      </c>
    </row>
    <row r="152" spans="1:6" x14ac:dyDescent="0.25">
      <c r="A152" s="2" t="s">
        <v>295</v>
      </c>
      <c r="B152" s="2"/>
      <c r="C152" s="2"/>
      <c r="D152" s="2" t="s">
        <v>296</v>
      </c>
      <c r="E152" s="3">
        <v>42.8</v>
      </c>
      <c r="F152" s="12">
        <v>3.4027777777777775E-2</v>
      </c>
    </row>
    <row r="153" spans="1:6" x14ac:dyDescent="0.25">
      <c r="A153" s="2"/>
      <c r="B153" s="2"/>
      <c r="C153" s="2"/>
      <c r="D153" s="2"/>
      <c r="F153" s="12"/>
    </row>
    <row r="154" spans="1:6" x14ac:dyDescent="0.25">
      <c r="A154" s="2"/>
      <c r="B154" s="2"/>
      <c r="C154" s="2"/>
      <c r="D154" s="2"/>
      <c r="F154" s="12"/>
    </row>
    <row r="155" spans="1:6" x14ac:dyDescent="0.25">
      <c r="A155" s="2"/>
      <c r="B155" s="2"/>
      <c r="C155" s="2"/>
      <c r="D155" s="2"/>
      <c r="F155" s="12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ravelTimes">
                <anchor moveWithCells="1" sizeWithCells="1">
                  <from>
                    <xdr:col>7</xdr:col>
                    <xdr:colOff>9525</xdr:colOff>
                    <xdr:row>0</xdr:row>
                    <xdr:rowOff>171450</xdr:rowOff>
                  </from>
                  <to>
                    <xdr:col>11</xdr:col>
                    <xdr:colOff>295275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153"/>
  <sheetViews>
    <sheetView topLeftCell="F1" zoomScale="70" zoomScaleNormal="70" workbookViewId="0">
      <selection activeCell="Y128" sqref="Y128"/>
    </sheetView>
  </sheetViews>
  <sheetFormatPr defaultRowHeight="15" x14ac:dyDescent="0.25"/>
  <cols>
    <col min="1" max="1" width="13.42578125" customWidth="1"/>
    <col min="2" max="2" width="24.5703125" customWidth="1"/>
    <col min="3" max="3" width="32.28515625" bestFit="1" customWidth="1"/>
    <col min="4" max="5" width="40.42578125" bestFit="1" customWidth="1"/>
    <col min="7" max="7" width="19.140625" customWidth="1"/>
    <col min="8" max="20" width="9.140625" customWidth="1"/>
    <col min="21" max="21" width="7.140625" customWidth="1"/>
    <col min="22" max="22" width="19.85546875" customWidth="1"/>
    <col min="23" max="23" width="20.5703125" customWidth="1"/>
    <col min="24" max="24" width="19.85546875" customWidth="1"/>
    <col min="25" max="25" width="20.5703125" bestFit="1" customWidth="1"/>
    <col min="28" max="28" width="18.5703125" customWidth="1"/>
    <col min="29" max="29" width="18.140625" customWidth="1"/>
  </cols>
  <sheetData>
    <row r="1" spans="1:30" x14ac:dyDescent="0.25">
      <c r="R1">
        <v>2</v>
      </c>
      <c r="T1" t="s">
        <v>291</v>
      </c>
      <c r="U1" s="25" t="s">
        <v>285</v>
      </c>
      <c r="V1" s="25"/>
      <c r="W1" s="25"/>
      <c r="X1" s="25"/>
      <c r="Y1" s="25"/>
      <c r="AC1" s="13" t="s">
        <v>292</v>
      </c>
    </row>
    <row r="2" spans="1:30" x14ac:dyDescent="0.25">
      <c r="A2" t="s">
        <v>281</v>
      </c>
      <c r="B2" t="s">
        <v>12</v>
      </c>
      <c r="C2" t="s">
        <v>280</v>
      </c>
      <c r="D2" t="s">
        <v>8</v>
      </c>
      <c r="E2" t="s">
        <v>9</v>
      </c>
      <c r="F2" t="s">
        <v>283</v>
      </c>
      <c r="G2" t="s">
        <v>284</v>
      </c>
      <c r="U2" t="s">
        <v>286</v>
      </c>
      <c r="V2" t="s">
        <v>287</v>
      </c>
      <c r="W2" t="s">
        <v>288</v>
      </c>
      <c r="X2" t="s">
        <v>289</v>
      </c>
      <c r="Y2" t="s">
        <v>290</v>
      </c>
      <c r="AA2" t="s">
        <v>293</v>
      </c>
      <c r="AC2" t="s">
        <v>294</v>
      </c>
    </row>
    <row r="3" spans="1:30" hidden="1" x14ac:dyDescent="0.25">
      <c r="A3">
        <v>4</v>
      </c>
      <c r="B3" t="s">
        <v>13</v>
      </c>
      <c r="C3" t="s">
        <v>14</v>
      </c>
      <c r="D3" t="s">
        <v>10</v>
      </c>
      <c r="E3" t="s">
        <v>11</v>
      </c>
      <c r="F3" s="3">
        <f>GoogleDistance!E2</f>
        <v>0.8</v>
      </c>
      <c r="H3" t="str">
        <f>"update x set distance = " &amp; F3 &amp; " from storecompetitorstorexref x where storecompetitorstorexref = " &amp; A3</f>
        <v>update x set distance = 0.8 from storecompetitorstorexref x where storecompetitorstorexref = 4</v>
      </c>
      <c r="U3">
        <f>Table1[[#This Row],[StoreCompetitorStoreXRef]]</f>
        <v>4</v>
      </c>
      <c r="V3" t="str">
        <f>SUBSTITUTE(LEFT(D3, FIND(",", D3)), ",", "")</f>
        <v>29.0413056999999990</v>
      </c>
      <c r="W3" t="str">
        <f>SUBSTITUTE(D3,V3 &amp; ",","")</f>
        <v>-95.4133269000000010</v>
      </c>
      <c r="X3" t="str">
        <f>SUBSTITUTE(LEFT(E3, FIND(",", E3)), ",", "")</f>
        <v>29.0456212000000000</v>
      </c>
      <c r="Y3" t="str">
        <f>SUBSTITUTE(E3,X3 &amp; ",","")</f>
        <v>-95.4044875000000000</v>
      </c>
      <c r="AA3">
        <f>ATAN2(COS(V3)*SIN(X3)-SIN(V3)*COS(X3)*COS(Y3-W3),SIN(Y3-W3)*COS(X3))</f>
        <v>-0.97091010076408824</v>
      </c>
      <c r="AC3" s="14" t="str">
        <f t="shared" ref="AC3:AC66" si="0">GetBearing(AA3, PRECISION)</f>
        <v>N</v>
      </c>
      <c r="AD3" t="str">
        <f>"update x set bearing = '" &amp; AC3 &amp; "' from storecompetitorstorexref x where storecompetitorstorexref = " &amp; U3</f>
        <v>update x set bearing = 'N' from storecompetitorstorexref x where storecompetitorstorexref = 4</v>
      </c>
    </row>
    <row r="4" spans="1:30" hidden="1" x14ac:dyDescent="0.25">
      <c r="A4">
        <v>103</v>
      </c>
      <c r="B4" t="s">
        <v>13</v>
      </c>
      <c r="C4" t="s">
        <v>15</v>
      </c>
      <c r="D4" t="s">
        <v>10</v>
      </c>
      <c r="E4" t="s">
        <v>16</v>
      </c>
      <c r="F4" s="3">
        <f>GoogleDistance!E3</f>
        <v>3.2</v>
      </c>
      <c r="H4" t="str">
        <f t="shared" ref="H4:H67" si="1">"update x set distance = " &amp; F4 &amp; " from storecompetitorstorexref x where storecompetitorstorexref = " &amp; A4</f>
        <v>update x set distance = 3.2 from storecompetitorstorexref x where storecompetitorstorexref = 103</v>
      </c>
      <c r="U4">
        <f>Table1[[#This Row],[StoreCompetitorStoreXRef]]</f>
        <v>103</v>
      </c>
      <c r="V4" t="str">
        <f t="shared" ref="V4:V67" si="2">SUBSTITUTE(LEFT(D4, FIND(",", D4)), ",", "")</f>
        <v>29.0413056999999990</v>
      </c>
      <c r="W4" t="str">
        <f t="shared" ref="W4:W67" si="3">SUBSTITUTE(D4,V4 &amp; ",","")</f>
        <v>-95.4133269000000010</v>
      </c>
      <c r="X4" t="str">
        <f t="shared" ref="X4:X67" si="4">SUBSTITUTE(LEFT(E4, FIND(",", E4)), ",", "")</f>
        <v>29.0454575000000000</v>
      </c>
      <c r="Y4" t="str">
        <f t="shared" ref="Y4:Y67" si="5">SUBSTITUTE(E4,X4 &amp; ",","")</f>
        <v>-95.4613030000000000</v>
      </c>
      <c r="AA4">
        <f t="shared" ref="AA4:AA67" si="6">ATAN2(COS(V4)*SIN(X4)-SIN(V4)*COS(X4)*COS(Y4-W4),SIN(Y4-W4)*COS(X4))</f>
        <v>1.4342806039576101</v>
      </c>
      <c r="AC4" s="14" t="str">
        <f t="shared" si="0"/>
        <v>N</v>
      </c>
      <c r="AD4" t="str">
        <f t="shared" ref="AD4:AD67" si="7">"update x set bearing = '" &amp; AC4 &amp; "' from storecompetitorstorexref x where storecompetitorstorexref = " &amp; U4</f>
        <v>update x set bearing = 'N' from storecompetitorstorexref x where storecompetitorstorexref = 103</v>
      </c>
    </row>
    <row r="5" spans="1:30" hidden="1" x14ac:dyDescent="0.25">
      <c r="A5">
        <v>322</v>
      </c>
      <c r="B5" t="s">
        <v>13</v>
      </c>
      <c r="C5" t="s">
        <v>17</v>
      </c>
      <c r="D5" t="s">
        <v>10</v>
      </c>
      <c r="E5" t="s">
        <v>18</v>
      </c>
      <c r="F5" s="3">
        <f>GoogleDistance!E4</f>
        <v>2.2000000000000002</v>
      </c>
      <c r="H5" t="str">
        <f t="shared" si="1"/>
        <v>update x set distance = 2.2 from storecompetitorstorexref x where storecompetitorstorexref = 322</v>
      </c>
      <c r="U5">
        <f>Table1[[#This Row],[StoreCompetitorStoreXRef]]</f>
        <v>322</v>
      </c>
      <c r="V5" t="str">
        <f t="shared" si="2"/>
        <v>29.0413056999999990</v>
      </c>
      <c r="W5" t="str">
        <f t="shared" si="3"/>
        <v>-95.4133269000000010</v>
      </c>
      <c r="X5" t="str">
        <f t="shared" si="4"/>
        <v>29.0434622000000000</v>
      </c>
      <c r="Y5" t="str">
        <f t="shared" si="5"/>
        <v>-95.4469269000000000</v>
      </c>
      <c r="AA5">
        <f t="shared" si="6"/>
        <v>1.4701363563754011</v>
      </c>
      <c r="AC5" s="14" t="str">
        <f t="shared" si="0"/>
        <v>N</v>
      </c>
      <c r="AD5" t="str">
        <f t="shared" si="7"/>
        <v>update x set bearing = 'N' from storecompetitorstorexref x where storecompetitorstorexref = 322</v>
      </c>
    </row>
    <row r="6" spans="1:30" hidden="1" x14ac:dyDescent="0.25">
      <c r="A6">
        <v>363</v>
      </c>
      <c r="B6" t="s">
        <v>13</v>
      </c>
      <c r="C6" t="s">
        <v>19</v>
      </c>
      <c r="D6" t="s">
        <v>10</v>
      </c>
      <c r="E6" t="s">
        <v>20</v>
      </c>
      <c r="F6" s="3">
        <f>GoogleDistance!E5</f>
        <v>1</v>
      </c>
      <c r="H6" t="str">
        <f t="shared" si="1"/>
        <v>update x set distance = 1 from storecompetitorstorexref x where storecompetitorstorexref = 363</v>
      </c>
      <c r="U6">
        <f>Table1[[#This Row],[StoreCompetitorStoreXRef]]</f>
        <v>363</v>
      </c>
      <c r="V6" t="str">
        <f t="shared" si="2"/>
        <v>29.0413056999999990</v>
      </c>
      <c r="W6" t="str">
        <f t="shared" si="3"/>
        <v>-95.4133269000000010</v>
      </c>
      <c r="X6" t="str">
        <f t="shared" si="4"/>
        <v>29.0400962000000000</v>
      </c>
      <c r="Y6" t="str">
        <f t="shared" si="5"/>
        <v>-95.4235807000000000</v>
      </c>
      <c r="AA6">
        <f t="shared" si="6"/>
        <v>1.7295285755044347</v>
      </c>
      <c r="AC6" s="14" t="str">
        <f t="shared" si="0"/>
        <v>N</v>
      </c>
      <c r="AD6" t="str">
        <f t="shared" si="7"/>
        <v>update x set bearing = 'N' from storecompetitorstorexref x where storecompetitorstorexref = 363</v>
      </c>
    </row>
    <row r="7" spans="1:30" hidden="1" x14ac:dyDescent="0.25">
      <c r="A7">
        <v>364</v>
      </c>
      <c r="B7" t="s">
        <v>13</v>
      </c>
      <c r="C7" t="s">
        <v>21</v>
      </c>
      <c r="D7" t="s">
        <v>10</v>
      </c>
      <c r="E7" t="s">
        <v>22</v>
      </c>
      <c r="F7" s="3">
        <f>GoogleDistance!E6</f>
        <v>1</v>
      </c>
      <c r="H7" t="str">
        <f t="shared" si="1"/>
        <v>update x set distance = 1 from storecompetitorstorexref x where storecompetitorstorexref = 364</v>
      </c>
      <c r="U7">
        <f>Table1[[#This Row],[StoreCompetitorStoreXRef]]</f>
        <v>364</v>
      </c>
      <c r="V7" t="str">
        <f t="shared" si="2"/>
        <v>29.0413056999999990</v>
      </c>
      <c r="W7" t="str">
        <f t="shared" si="3"/>
        <v>-95.4133269000000010</v>
      </c>
      <c r="X7" t="str">
        <f t="shared" si="4"/>
        <v>29.0381032000000000</v>
      </c>
      <c r="Y7" t="str">
        <f t="shared" si="5"/>
        <v>-95.4229472000000000</v>
      </c>
      <c r="AA7">
        <f t="shared" si="6"/>
        <v>1.999940047058302</v>
      </c>
      <c r="AC7" s="14" t="str">
        <f t="shared" si="0"/>
        <v>N</v>
      </c>
      <c r="AD7" t="str">
        <f t="shared" si="7"/>
        <v>update x set bearing = 'N' from storecompetitorstorexref x where storecompetitorstorexref = 364</v>
      </c>
    </row>
    <row r="8" spans="1:30" hidden="1" x14ac:dyDescent="0.25">
      <c r="A8">
        <v>354</v>
      </c>
      <c r="B8" t="s">
        <v>23</v>
      </c>
      <c r="C8" t="s">
        <v>14</v>
      </c>
      <c r="D8" t="s">
        <v>24</v>
      </c>
      <c r="E8" t="s">
        <v>11</v>
      </c>
      <c r="F8" s="3">
        <f>GoogleDistance!E7</f>
        <v>4</v>
      </c>
      <c r="H8" t="str">
        <f t="shared" si="1"/>
        <v>update x set distance = 4 from storecompetitorstorexref x where storecompetitorstorexref = 354</v>
      </c>
      <c r="U8">
        <f>Table1[[#This Row],[StoreCompetitorStoreXRef]]</f>
        <v>354</v>
      </c>
      <c r="V8" t="str">
        <f t="shared" si="2"/>
        <v>29.0641070000000000</v>
      </c>
      <c r="W8" t="str">
        <f t="shared" si="3"/>
        <v>-95.4270709999999980</v>
      </c>
      <c r="X8" t="str">
        <f t="shared" si="4"/>
        <v>29.0456212000000000</v>
      </c>
      <c r="Y8" t="str">
        <f t="shared" si="5"/>
        <v>-95.4044875000000000</v>
      </c>
      <c r="AA8">
        <f t="shared" si="6"/>
        <v>-2.4187416894045266</v>
      </c>
      <c r="AC8" s="14" t="str">
        <f t="shared" si="0"/>
        <v>N</v>
      </c>
      <c r="AD8" t="str">
        <f t="shared" si="7"/>
        <v>update x set bearing = 'N' from storecompetitorstorexref x where storecompetitorstorexref = 354</v>
      </c>
    </row>
    <row r="9" spans="1:30" hidden="1" x14ac:dyDescent="0.25">
      <c r="A9">
        <v>121</v>
      </c>
      <c r="B9" t="s">
        <v>23</v>
      </c>
      <c r="C9" t="s">
        <v>15</v>
      </c>
      <c r="D9" t="s">
        <v>24</v>
      </c>
      <c r="E9" t="s">
        <v>16</v>
      </c>
      <c r="F9" s="3">
        <f>GoogleDistance!E8</f>
        <v>3.3</v>
      </c>
      <c r="H9" t="str">
        <f t="shared" si="1"/>
        <v>update x set distance = 3.3 from storecompetitorstorexref x where storecompetitorstorexref = 121</v>
      </c>
      <c r="U9">
        <f>Table1[[#This Row],[StoreCompetitorStoreXRef]]</f>
        <v>121</v>
      </c>
      <c r="V9" t="str">
        <f t="shared" si="2"/>
        <v>29.0641070000000000</v>
      </c>
      <c r="W9" t="str">
        <f t="shared" si="3"/>
        <v>-95.4270709999999980</v>
      </c>
      <c r="X9" t="str">
        <f t="shared" si="4"/>
        <v>29.0454575000000000</v>
      </c>
      <c r="Y9" t="str">
        <f t="shared" si="5"/>
        <v>-95.4613030000000000</v>
      </c>
      <c r="AA9">
        <f t="shared" si="6"/>
        <v>2.2127857466847467</v>
      </c>
      <c r="AC9" s="14" t="str">
        <f t="shared" si="0"/>
        <v>N</v>
      </c>
      <c r="AD9" t="str">
        <f t="shared" si="7"/>
        <v>update x set bearing = 'N' from storecompetitorstorexref x where storecompetitorstorexref = 121</v>
      </c>
    </row>
    <row r="10" spans="1:30" hidden="1" x14ac:dyDescent="0.25">
      <c r="A10">
        <v>156</v>
      </c>
      <c r="B10" t="s">
        <v>23</v>
      </c>
      <c r="C10" t="s">
        <v>25</v>
      </c>
      <c r="D10" t="s">
        <v>24</v>
      </c>
      <c r="E10" t="s">
        <v>26</v>
      </c>
      <c r="F10" s="3">
        <f>GoogleDistance!E9</f>
        <v>3</v>
      </c>
      <c r="H10" t="str">
        <f t="shared" si="1"/>
        <v>update x set distance = 3 from storecompetitorstorexref x where storecompetitorstorexref = 156</v>
      </c>
      <c r="U10">
        <f>Table1[[#This Row],[StoreCompetitorStoreXRef]]</f>
        <v>156</v>
      </c>
      <c r="V10" t="str">
        <f t="shared" si="2"/>
        <v>29.0641070000000000</v>
      </c>
      <c r="W10" t="str">
        <f t="shared" si="3"/>
        <v>-95.4270709999999980</v>
      </c>
      <c r="X10" t="str">
        <f t="shared" si="4"/>
        <v>29.0481102000000000</v>
      </c>
      <c r="Y10" t="str">
        <f t="shared" si="5"/>
        <v>-95.4652421000000000</v>
      </c>
      <c r="AA10">
        <f t="shared" si="6"/>
        <v>2.090721418799939</v>
      </c>
      <c r="AC10" s="14" t="str">
        <f t="shared" si="0"/>
        <v>N</v>
      </c>
      <c r="AD10" t="str">
        <f t="shared" si="7"/>
        <v>update x set bearing = 'N' from storecompetitorstorexref x where storecompetitorstorexref = 156</v>
      </c>
    </row>
    <row r="11" spans="1:30" hidden="1" x14ac:dyDescent="0.25">
      <c r="A11">
        <v>324</v>
      </c>
      <c r="B11" t="s">
        <v>23</v>
      </c>
      <c r="C11" t="s">
        <v>17</v>
      </c>
      <c r="D11" t="s">
        <v>24</v>
      </c>
      <c r="E11" t="s">
        <v>18</v>
      </c>
      <c r="F11" s="3">
        <f>GoogleDistance!E10</f>
        <v>3.1</v>
      </c>
      <c r="H11" t="str">
        <f t="shared" si="1"/>
        <v>update x set distance = 3.1 from storecompetitorstorexref x where storecompetitorstorexref = 324</v>
      </c>
      <c r="U11">
        <f>Table1[[#This Row],[StoreCompetitorStoreXRef]]</f>
        <v>324</v>
      </c>
      <c r="V11" t="str">
        <f t="shared" si="2"/>
        <v>29.0641070000000000</v>
      </c>
      <c r="W11" t="str">
        <f t="shared" si="3"/>
        <v>-95.4270709999999980</v>
      </c>
      <c r="X11" t="str">
        <f t="shared" si="4"/>
        <v>29.0434622000000000</v>
      </c>
      <c r="Y11" t="str">
        <f t="shared" si="5"/>
        <v>-95.4469269000000000</v>
      </c>
      <c r="AA11">
        <f t="shared" si="6"/>
        <v>2.5346025840249924</v>
      </c>
      <c r="AC11" s="14" t="str">
        <f t="shared" si="0"/>
        <v>N</v>
      </c>
      <c r="AD11" t="str">
        <f t="shared" si="7"/>
        <v>update x set bearing = 'N' from storecompetitorstorexref x where storecompetitorstorexref = 324</v>
      </c>
    </row>
    <row r="12" spans="1:30" hidden="1" x14ac:dyDescent="0.25">
      <c r="A12">
        <v>366</v>
      </c>
      <c r="B12" t="s">
        <v>23</v>
      </c>
      <c r="C12" t="s">
        <v>21</v>
      </c>
      <c r="D12" t="s">
        <v>24</v>
      </c>
      <c r="E12" t="s">
        <v>22</v>
      </c>
      <c r="F12" s="3">
        <f>GoogleDistance!E11</f>
        <v>2.8</v>
      </c>
      <c r="H12" t="str">
        <f t="shared" si="1"/>
        <v>update x set distance = 2.8 from storecompetitorstorexref x where storecompetitorstorexref = 366</v>
      </c>
      <c r="U12">
        <f>Table1[[#This Row],[StoreCompetitorStoreXRef]]</f>
        <v>366</v>
      </c>
      <c r="V12" t="str">
        <f t="shared" si="2"/>
        <v>29.0641070000000000</v>
      </c>
      <c r="W12" t="str">
        <f t="shared" si="3"/>
        <v>-95.4270709999999980</v>
      </c>
      <c r="X12" t="str">
        <f t="shared" si="4"/>
        <v>29.0381032000000000</v>
      </c>
      <c r="Y12" t="str">
        <f t="shared" si="5"/>
        <v>-95.4229472000000000</v>
      </c>
      <c r="AA12">
        <f t="shared" si="6"/>
        <v>-3.0275230489928813</v>
      </c>
      <c r="AC12" s="14" t="str">
        <f t="shared" si="0"/>
        <v>N</v>
      </c>
      <c r="AD12" t="str">
        <f t="shared" si="7"/>
        <v>update x set bearing = 'N' from storecompetitorstorexref x where storecompetitorstorexref = 366</v>
      </c>
    </row>
    <row r="13" spans="1:30" hidden="1" x14ac:dyDescent="0.25">
      <c r="A13">
        <v>397</v>
      </c>
      <c r="B13" t="s">
        <v>23</v>
      </c>
      <c r="C13" t="s">
        <v>27</v>
      </c>
      <c r="D13" t="s">
        <v>24</v>
      </c>
      <c r="E13" t="s">
        <v>282</v>
      </c>
      <c r="F13" s="3">
        <f>GoogleDistance!E12</f>
        <v>1</v>
      </c>
      <c r="H13" t="str">
        <f t="shared" si="1"/>
        <v>update x set distance = 1 from storecompetitorstorexref x where storecompetitorstorexref = 397</v>
      </c>
      <c r="U13">
        <f>Table1[[#This Row],[StoreCompetitorStoreXRef]]</f>
        <v>397</v>
      </c>
      <c r="V13" t="str">
        <f t="shared" si="2"/>
        <v>29.0641070000000000</v>
      </c>
      <c r="W13" t="str">
        <f t="shared" si="3"/>
        <v>-95.4270709999999980</v>
      </c>
      <c r="X13" t="str">
        <f t="shared" si="4"/>
        <v>29.0654360000000000</v>
      </c>
      <c r="Y13" t="str">
        <f t="shared" si="5"/>
        <v>-95.4193900000000000</v>
      </c>
      <c r="AA13">
        <f t="shared" si="6"/>
        <v>-1.3269182190353024</v>
      </c>
      <c r="AC13" s="14" t="str">
        <f t="shared" si="0"/>
        <v>N</v>
      </c>
      <c r="AD13" t="str">
        <f t="shared" si="7"/>
        <v>update x set bearing = 'N' from storecompetitorstorexref x where storecompetitorstorexref = 397</v>
      </c>
    </row>
    <row r="14" spans="1:30" hidden="1" x14ac:dyDescent="0.25">
      <c r="A14">
        <v>106</v>
      </c>
      <c r="B14" t="s">
        <v>28</v>
      </c>
      <c r="C14" t="s">
        <v>15</v>
      </c>
      <c r="D14" t="s">
        <v>29</v>
      </c>
      <c r="E14" t="s">
        <v>16</v>
      </c>
      <c r="F14" s="3">
        <f>GoogleDistance!E13</f>
        <v>7.8</v>
      </c>
      <c r="H14" t="str">
        <f t="shared" si="1"/>
        <v>update x set distance = 7.8 from storecompetitorstorexref x where storecompetitorstorexref = 106</v>
      </c>
      <c r="U14">
        <f>Table1[[#This Row],[StoreCompetitorStoreXRef]]</f>
        <v>106</v>
      </c>
      <c r="V14" t="str">
        <f t="shared" si="2"/>
        <v>29.0555190000000000</v>
      </c>
      <c r="W14" t="str">
        <f t="shared" si="3"/>
        <v>-95.5724909999999990</v>
      </c>
      <c r="X14" t="str">
        <f t="shared" si="4"/>
        <v>29.0454575000000000</v>
      </c>
      <c r="Y14" t="str">
        <f t="shared" si="5"/>
        <v>-95.4613030000000000</v>
      </c>
      <c r="AA14">
        <f t="shared" si="6"/>
        <v>-1.657833921039872</v>
      </c>
      <c r="AC14" s="14" t="str">
        <f t="shared" si="0"/>
        <v>N</v>
      </c>
      <c r="AD14" t="str">
        <f t="shared" si="7"/>
        <v>update x set bearing = 'N' from storecompetitorstorexref x where storecompetitorstorexref = 106</v>
      </c>
    </row>
    <row r="15" spans="1:30" hidden="1" x14ac:dyDescent="0.25">
      <c r="A15">
        <v>107</v>
      </c>
      <c r="B15" t="s">
        <v>28</v>
      </c>
      <c r="C15" t="s">
        <v>25</v>
      </c>
      <c r="D15" t="s">
        <v>29</v>
      </c>
      <c r="E15" t="s">
        <v>26</v>
      </c>
      <c r="F15" s="3">
        <f>GoogleDistance!E14</f>
        <v>7.3</v>
      </c>
      <c r="H15" t="str">
        <f t="shared" si="1"/>
        <v>update x set distance = 7.3 from storecompetitorstorexref x where storecompetitorstorexref = 107</v>
      </c>
      <c r="U15">
        <f>Table1[[#This Row],[StoreCompetitorStoreXRef]]</f>
        <v>107</v>
      </c>
      <c r="V15" t="str">
        <f t="shared" si="2"/>
        <v>29.0555190000000000</v>
      </c>
      <c r="W15" t="str">
        <f t="shared" si="3"/>
        <v>-95.5724909999999990</v>
      </c>
      <c r="X15" t="str">
        <f t="shared" si="4"/>
        <v>29.0481102000000000</v>
      </c>
      <c r="Y15" t="str">
        <f t="shared" si="5"/>
        <v>-95.4652421000000000</v>
      </c>
      <c r="AA15">
        <f t="shared" si="6"/>
        <v>-1.6296968743085523</v>
      </c>
      <c r="AC15" s="14" t="str">
        <f t="shared" si="0"/>
        <v>N</v>
      </c>
      <c r="AD15" t="str">
        <f t="shared" si="7"/>
        <v>update x set bearing = 'N' from storecompetitorstorexref x where storecompetitorstorexref = 107</v>
      </c>
    </row>
    <row r="16" spans="1:30" hidden="1" x14ac:dyDescent="0.25">
      <c r="A16">
        <v>349</v>
      </c>
      <c r="B16" t="s">
        <v>28</v>
      </c>
      <c r="C16" t="s">
        <v>17</v>
      </c>
      <c r="D16" t="s">
        <v>29</v>
      </c>
      <c r="E16" t="s">
        <v>18</v>
      </c>
      <c r="F16" s="3">
        <f>GoogleDistance!E15</f>
        <v>8.5</v>
      </c>
      <c r="H16" t="str">
        <f t="shared" si="1"/>
        <v>update x set distance = 8.5 from storecompetitorstorexref x where storecompetitorstorexref = 349</v>
      </c>
      <c r="U16">
        <f>Table1[[#This Row],[StoreCompetitorStoreXRef]]</f>
        <v>349</v>
      </c>
      <c r="V16" t="str">
        <f t="shared" si="2"/>
        <v>29.0555190000000000</v>
      </c>
      <c r="W16" t="str">
        <f t="shared" si="3"/>
        <v>-95.5724909999999990</v>
      </c>
      <c r="X16" t="str">
        <f t="shared" si="4"/>
        <v>29.0434622000000000</v>
      </c>
      <c r="Y16" t="str">
        <f t="shared" si="5"/>
        <v>-95.4469269000000000</v>
      </c>
      <c r="AA16">
        <f t="shared" si="6"/>
        <v>-1.6602787559334353</v>
      </c>
      <c r="AC16" s="14" t="str">
        <f t="shared" si="0"/>
        <v>N</v>
      </c>
      <c r="AD16" t="str">
        <f t="shared" si="7"/>
        <v>update x set bearing = 'N' from storecompetitorstorexref x where storecompetitorstorexref = 349</v>
      </c>
    </row>
    <row r="17" spans="1:30" hidden="1" x14ac:dyDescent="0.25">
      <c r="A17">
        <v>26</v>
      </c>
      <c r="B17" t="s">
        <v>30</v>
      </c>
      <c r="C17" t="s">
        <v>15</v>
      </c>
      <c r="D17" t="s">
        <v>31</v>
      </c>
      <c r="E17" t="s">
        <v>16</v>
      </c>
      <c r="F17" s="3">
        <f>GoogleDistance!E16</f>
        <v>8.3000000000000007</v>
      </c>
      <c r="H17" t="str">
        <f t="shared" si="1"/>
        <v>update x set distance = 8.3 from storecompetitorstorexref x where storecompetitorstorexref = 26</v>
      </c>
      <c r="U17">
        <f>Table1[[#This Row],[StoreCompetitorStoreXRef]]</f>
        <v>26</v>
      </c>
      <c r="V17" t="str">
        <f t="shared" si="2"/>
        <v>29.0346809999999990</v>
      </c>
      <c r="W17" t="str">
        <f t="shared" si="3"/>
        <v>-95.5675260000000010</v>
      </c>
      <c r="X17" t="str">
        <f t="shared" si="4"/>
        <v>29.0454575000000000</v>
      </c>
      <c r="Y17" t="str">
        <f t="shared" si="5"/>
        <v>-95.4613030000000000</v>
      </c>
      <c r="AA17">
        <f t="shared" si="6"/>
        <v>-1.3942821929301268</v>
      </c>
      <c r="AC17" s="14" t="str">
        <f t="shared" si="0"/>
        <v>N</v>
      </c>
      <c r="AD17" t="str">
        <f t="shared" si="7"/>
        <v>update x set bearing = 'N' from storecompetitorstorexref x where storecompetitorstorexref = 26</v>
      </c>
    </row>
    <row r="18" spans="1:30" hidden="1" x14ac:dyDescent="0.25">
      <c r="A18">
        <v>27</v>
      </c>
      <c r="B18" t="s">
        <v>30</v>
      </c>
      <c r="C18" t="s">
        <v>25</v>
      </c>
      <c r="D18" t="s">
        <v>31</v>
      </c>
      <c r="E18" t="s">
        <v>26</v>
      </c>
      <c r="F18" s="3">
        <f>GoogleDistance!E17</f>
        <v>7.9</v>
      </c>
      <c r="H18" t="str">
        <f t="shared" si="1"/>
        <v>update x set distance = 7.9 from storecompetitorstorexref x where storecompetitorstorexref = 27</v>
      </c>
      <c r="U18">
        <f>Table1[[#This Row],[StoreCompetitorStoreXRef]]</f>
        <v>27</v>
      </c>
      <c r="V18" t="str">
        <f t="shared" si="2"/>
        <v>29.0346809999999990</v>
      </c>
      <c r="W18" t="str">
        <f t="shared" si="3"/>
        <v>-95.5675260000000010</v>
      </c>
      <c r="X18" t="str">
        <f t="shared" si="4"/>
        <v>29.0481102000000000</v>
      </c>
      <c r="Y18" t="str">
        <f t="shared" si="5"/>
        <v>-95.4652421000000000</v>
      </c>
      <c r="AA18">
        <f t="shared" si="6"/>
        <v>-1.3550593933802921</v>
      </c>
      <c r="AC18" s="14" t="str">
        <f t="shared" si="0"/>
        <v>N</v>
      </c>
      <c r="AD18" t="str">
        <f t="shared" si="7"/>
        <v>update x set bearing = 'N' from storecompetitorstorexref x where storecompetitorstorexref = 27</v>
      </c>
    </row>
    <row r="19" spans="1:30" x14ac:dyDescent="0.25">
      <c r="A19">
        <v>350</v>
      </c>
      <c r="B19" t="s">
        <v>30</v>
      </c>
      <c r="C19" t="s">
        <v>17</v>
      </c>
      <c r="D19" t="s">
        <v>31</v>
      </c>
      <c r="E19" t="s">
        <v>18</v>
      </c>
      <c r="F19" s="3">
        <f>GoogleDistance!E18</f>
        <v>11.7</v>
      </c>
      <c r="H19" t="str">
        <f t="shared" si="1"/>
        <v>update x set distance = 11.7 from storecompetitorstorexref x where storecompetitorstorexref = 350</v>
      </c>
      <c r="U19">
        <f>Table1[[#This Row],[StoreCompetitorStoreXRef]]</f>
        <v>350</v>
      </c>
      <c r="V19" t="str">
        <f t="shared" si="2"/>
        <v>29.0346809999999990</v>
      </c>
      <c r="W19" t="str">
        <f t="shared" si="3"/>
        <v>-95.5675260000000010</v>
      </c>
      <c r="X19" t="str">
        <f t="shared" si="4"/>
        <v>29.0434622000000000</v>
      </c>
      <c r="Y19" t="str">
        <f t="shared" si="5"/>
        <v>-95.4469269000000000</v>
      </c>
      <c r="AA19">
        <f t="shared" si="6"/>
        <v>-1.4285729982492867</v>
      </c>
      <c r="AC19" s="14" t="str">
        <f t="shared" si="0"/>
        <v>N</v>
      </c>
      <c r="AD19" t="str">
        <f t="shared" si="7"/>
        <v>update x set bearing = 'N' from storecompetitorstorexref x where storecompetitorstorexref = 350</v>
      </c>
    </row>
    <row r="20" spans="1:30" hidden="1" x14ac:dyDescent="0.25">
      <c r="A20">
        <v>332</v>
      </c>
      <c r="B20" t="s">
        <v>32</v>
      </c>
      <c r="C20" t="s">
        <v>34</v>
      </c>
      <c r="D20" t="s">
        <v>33</v>
      </c>
      <c r="E20" t="s">
        <v>35</v>
      </c>
      <c r="F20" s="3">
        <f>GoogleDistance!E19</f>
        <v>6.9</v>
      </c>
      <c r="H20" t="str">
        <f t="shared" si="1"/>
        <v>update x set distance = 6.9 from storecompetitorstorexref x where storecompetitorstorexref = 332</v>
      </c>
      <c r="U20">
        <f>Table1[[#This Row],[StoreCompetitorStoreXRef]]</f>
        <v>332</v>
      </c>
      <c r="V20" t="str">
        <f t="shared" si="2"/>
        <v>28.9812087000000000</v>
      </c>
      <c r="W20" t="str">
        <f t="shared" si="3"/>
        <v>-95.3358743000000000</v>
      </c>
      <c r="X20" t="str">
        <f t="shared" si="4"/>
        <v>29.0212499999999980</v>
      </c>
      <c r="Y20" t="str">
        <f t="shared" si="5"/>
        <v>-95.4368589999999980</v>
      </c>
      <c r="AA20">
        <f t="shared" si="6"/>
        <v>1.0497481573889114</v>
      </c>
      <c r="AC20" s="14" t="str">
        <f t="shared" si="0"/>
        <v>N</v>
      </c>
      <c r="AD20" t="str">
        <f t="shared" si="7"/>
        <v>update x set bearing = 'N' from storecompetitorstorexref x where storecompetitorstorexref = 332</v>
      </c>
    </row>
    <row r="21" spans="1:30" hidden="1" x14ac:dyDescent="0.25">
      <c r="A21">
        <v>127</v>
      </c>
      <c r="B21" t="s">
        <v>32</v>
      </c>
      <c r="C21" t="s">
        <v>15</v>
      </c>
      <c r="D21" t="s">
        <v>33</v>
      </c>
      <c r="E21" t="s">
        <v>16</v>
      </c>
      <c r="F21" s="3">
        <f>GoogleDistance!E20</f>
        <v>9.6</v>
      </c>
      <c r="H21" t="str">
        <f t="shared" si="1"/>
        <v>update x set distance = 9.6 from storecompetitorstorexref x where storecompetitorstorexref = 127</v>
      </c>
      <c r="U21">
        <f>Table1[[#This Row],[StoreCompetitorStoreXRef]]</f>
        <v>127</v>
      </c>
      <c r="V21" t="str">
        <f t="shared" si="2"/>
        <v>28.9812087000000000</v>
      </c>
      <c r="W21" t="str">
        <f t="shared" si="3"/>
        <v>-95.3358743000000000</v>
      </c>
      <c r="X21" t="str">
        <f t="shared" si="4"/>
        <v>29.0454575000000000</v>
      </c>
      <c r="Y21" t="str">
        <f t="shared" si="5"/>
        <v>-95.4613030000000000</v>
      </c>
      <c r="AA21">
        <f t="shared" si="6"/>
        <v>0.92317838729119794</v>
      </c>
      <c r="AC21" s="14" t="str">
        <f t="shared" si="0"/>
        <v>N</v>
      </c>
      <c r="AD21" t="str">
        <f t="shared" si="7"/>
        <v>update x set bearing = 'N' from storecompetitorstorexref x where storecompetitorstorexref = 127</v>
      </c>
    </row>
    <row r="22" spans="1:30" hidden="1" x14ac:dyDescent="0.25">
      <c r="A22">
        <v>333</v>
      </c>
      <c r="B22" t="s">
        <v>32</v>
      </c>
      <c r="C22" t="s">
        <v>17</v>
      </c>
      <c r="D22" t="s">
        <v>33</v>
      </c>
      <c r="E22" t="s">
        <v>18</v>
      </c>
      <c r="F22" s="3">
        <f>GoogleDistance!E21</f>
        <v>8.6999999999999993</v>
      </c>
      <c r="H22" t="str">
        <f t="shared" si="1"/>
        <v>update x set distance = 8.7 from storecompetitorstorexref x where storecompetitorstorexref = 333</v>
      </c>
      <c r="U22">
        <f>Table1[[#This Row],[StoreCompetitorStoreXRef]]</f>
        <v>333</v>
      </c>
      <c r="V22" t="str">
        <f t="shared" si="2"/>
        <v>28.9812087000000000</v>
      </c>
      <c r="W22" t="str">
        <f t="shared" si="3"/>
        <v>-95.3358743000000000</v>
      </c>
      <c r="X22" t="str">
        <f t="shared" si="4"/>
        <v>29.0434622000000000</v>
      </c>
      <c r="Y22" t="str">
        <f t="shared" si="5"/>
        <v>-95.4469269000000000</v>
      </c>
      <c r="AA22">
        <f t="shared" si="6"/>
        <v>0.88554381966634765</v>
      </c>
      <c r="AC22" s="14" t="str">
        <f t="shared" si="0"/>
        <v>N</v>
      </c>
      <c r="AD22" t="str">
        <f t="shared" si="7"/>
        <v>update x set bearing = 'N' from storecompetitorstorexref x where storecompetitorstorexref = 333</v>
      </c>
    </row>
    <row r="23" spans="1:30" hidden="1" x14ac:dyDescent="0.25">
      <c r="A23">
        <v>334</v>
      </c>
      <c r="B23" t="s">
        <v>36</v>
      </c>
      <c r="C23" t="s">
        <v>34</v>
      </c>
      <c r="D23" t="s">
        <v>38</v>
      </c>
      <c r="E23" t="s">
        <v>35</v>
      </c>
      <c r="F23" s="3">
        <f>GoogleDistance!E22</f>
        <v>5.9</v>
      </c>
      <c r="H23" t="str">
        <f t="shared" si="1"/>
        <v>update x set distance = 5.9 from storecompetitorstorexref x where storecompetitorstorexref = 334</v>
      </c>
      <c r="U23">
        <f>Table1[[#This Row],[StoreCompetitorStoreXRef]]</f>
        <v>334</v>
      </c>
      <c r="V23" t="str">
        <f t="shared" si="2"/>
        <v>28.9694100000000000</v>
      </c>
      <c r="W23" t="str">
        <f t="shared" si="3"/>
        <v>-95.3706729999999960</v>
      </c>
      <c r="X23" t="str">
        <f t="shared" si="4"/>
        <v>29.0212499999999980</v>
      </c>
      <c r="Y23" t="str">
        <f t="shared" si="5"/>
        <v>-95.4368589999999980</v>
      </c>
      <c r="AA23">
        <f t="shared" si="6"/>
        <v>0.74286251066181841</v>
      </c>
      <c r="AC23" s="14" t="str">
        <f t="shared" si="0"/>
        <v>N</v>
      </c>
      <c r="AD23" t="str">
        <f t="shared" si="7"/>
        <v>update x set bearing = 'N' from storecompetitorstorexref x where storecompetitorstorexref = 334</v>
      </c>
    </row>
    <row r="24" spans="1:30" hidden="1" x14ac:dyDescent="0.25">
      <c r="A24">
        <v>290</v>
      </c>
      <c r="B24" t="s">
        <v>36</v>
      </c>
      <c r="C24" t="s">
        <v>15</v>
      </c>
      <c r="D24" t="s">
        <v>38</v>
      </c>
      <c r="E24" t="s">
        <v>16</v>
      </c>
      <c r="F24" s="3">
        <f>GoogleDistance!E23</f>
        <v>8.6999999999999993</v>
      </c>
      <c r="H24" t="str">
        <f t="shared" si="1"/>
        <v>update x set distance = 8.7 from storecompetitorstorexref x where storecompetitorstorexref = 290</v>
      </c>
      <c r="U24">
        <f>Table1[[#This Row],[StoreCompetitorStoreXRef]]</f>
        <v>290</v>
      </c>
      <c r="V24" t="str">
        <f t="shared" si="2"/>
        <v>28.9694100000000000</v>
      </c>
      <c r="W24" t="str">
        <f t="shared" si="3"/>
        <v>-95.3706729999999960</v>
      </c>
      <c r="X24" t="str">
        <f t="shared" si="4"/>
        <v>29.0454575000000000</v>
      </c>
      <c r="Y24" t="str">
        <f t="shared" si="5"/>
        <v>-95.4613030000000000</v>
      </c>
      <c r="AA24">
        <f t="shared" si="6"/>
        <v>0.69490313627658706</v>
      </c>
      <c r="AC24" s="14" t="str">
        <f t="shared" si="0"/>
        <v>N</v>
      </c>
      <c r="AD24" t="str">
        <f t="shared" si="7"/>
        <v>update x set bearing = 'N' from storecompetitorstorexref x where storecompetitorstorexref = 290</v>
      </c>
    </row>
    <row r="25" spans="1:30" hidden="1" x14ac:dyDescent="0.25">
      <c r="A25">
        <v>34</v>
      </c>
      <c r="B25" t="s">
        <v>36</v>
      </c>
      <c r="C25" t="s">
        <v>37</v>
      </c>
      <c r="D25" t="s">
        <v>38</v>
      </c>
      <c r="E25" t="s">
        <v>39</v>
      </c>
      <c r="F25" s="3">
        <f>GoogleDistance!E24</f>
        <v>0.3</v>
      </c>
      <c r="H25" t="str">
        <f t="shared" si="1"/>
        <v>update x set distance = 0.3 from storecompetitorstorexref x where storecompetitorstorexref = 34</v>
      </c>
      <c r="U25">
        <f>Table1[[#This Row],[StoreCompetitorStoreXRef]]</f>
        <v>34</v>
      </c>
      <c r="V25" t="str">
        <f t="shared" si="2"/>
        <v>28.9694100000000000</v>
      </c>
      <c r="W25" t="str">
        <f t="shared" si="3"/>
        <v>-95.3706729999999960</v>
      </c>
      <c r="X25" t="str">
        <f t="shared" si="4"/>
        <v>28.9710851000000000</v>
      </c>
      <c r="Y25" t="str">
        <f t="shared" si="5"/>
        <v>-95.3733280000000000</v>
      </c>
      <c r="AA25">
        <f t="shared" si="6"/>
        <v>0.88188361092790457</v>
      </c>
      <c r="AC25" s="14" t="str">
        <f t="shared" si="0"/>
        <v>N</v>
      </c>
      <c r="AD25" t="str">
        <f t="shared" si="7"/>
        <v>update x set bearing = 'N' from storecompetitorstorexref x where storecompetitorstorexref = 34</v>
      </c>
    </row>
    <row r="26" spans="1:30" hidden="1" x14ac:dyDescent="0.25">
      <c r="A26">
        <v>310</v>
      </c>
      <c r="B26" t="s">
        <v>36</v>
      </c>
      <c r="C26" t="s">
        <v>40</v>
      </c>
      <c r="D26" t="s">
        <v>38</v>
      </c>
      <c r="E26" t="s">
        <v>41</v>
      </c>
      <c r="F26" s="3">
        <f>GoogleDistance!E25</f>
        <v>0.1</v>
      </c>
      <c r="H26" t="str">
        <f t="shared" si="1"/>
        <v>update x set distance = 0.1 from storecompetitorstorexref x where storecompetitorstorexref = 310</v>
      </c>
      <c r="U26">
        <f>Table1[[#This Row],[StoreCompetitorStoreXRef]]</f>
        <v>310</v>
      </c>
      <c r="V26" t="str">
        <f t="shared" si="2"/>
        <v>28.9694100000000000</v>
      </c>
      <c r="W26" t="str">
        <f t="shared" si="3"/>
        <v>-95.3706729999999960</v>
      </c>
      <c r="X26" t="str">
        <f t="shared" si="4"/>
        <v>28.9686933000000000</v>
      </c>
      <c r="Y26" t="str">
        <f t="shared" si="5"/>
        <v>-95.3709403000000000</v>
      </c>
      <c r="AA26">
        <f t="shared" si="6"/>
        <v>2.8624624580420979</v>
      </c>
      <c r="AC26" s="14" t="str">
        <f t="shared" si="0"/>
        <v>N</v>
      </c>
      <c r="AD26" t="str">
        <f t="shared" si="7"/>
        <v>update x set bearing = 'N' from storecompetitorstorexref x where storecompetitorstorexref = 310</v>
      </c>
    </row>
    <row r="27" spans="1:30" hidden="1" x14ac:dyDescent="0.25">
      <c r="A27">
        <v>351</v>
      </c>
      <c r="B27" t="s">
        <v>36</v>
      </c>
      <c r="C27" t="s">
        <v>17</v>
      </c>
      <c r="D27" t="s">
        <v>38</v>
      </c>
      <c r="E27" t="s">
        <v>18</v>
      </c>
      <c r="F27" s="3">
        <f>GoogleDistance!E26</f>
        <v>7.7</v>
      </c>
      <c r="H27" t="str">
        <f t="shared" si="1"/>
        <v>update x set distance = 7.7 from storecompetitorstorexref x where storecompetitorstorexref = 351</v>
      </c>
      <c r="U27">
        <f>Table1[[#This Row],[StoreCompetitorStoreXRef]]</f>
        <v>351</v>
      </c>
      <c r="V27" t="str">
        <f t="shared" si="2"/>
        <v>28.9694100000000000</v>
      </c>
      <c r="W27" t="str">
        <f t="shared" si="3"/>
        <v>-95.3706729999999960</v>
      </c>
      <c r="X27" t="str">
        <f t="shared" si="4"/>
        <v>29.0434622000000000</v>
      </c>
      <c r="Y27" t="str">
        <f t="shared" si="5"/>
        <v>-95.4469269000000000</v>
      </c>
      <c r="AA27">
        <f t="shared" si="6"/>
        <v>0.62842452374192359</v>
      </c>
      <c r="AC27" s="14" t="str">
        <f t="shared" si="0"/>
        <v>N</v>
      </c>
      <c r="AD27" t="str">
        <f t="shared" si="7"/>
        <v>update x set bearing = 'N' from storecompetitorstorexref x where storecompetitorstorexref = 351</v>
      </c>
    </row>
    <row r="28" spans="1:30" hidden="1" x14ac:dyDescent="0.25">
      <c r="A28">
        <v>35</v>
      </c>
      <c r="B28" t="s">
        <v>42</v>
      </c>
      <c r="C28" t="s">
        <v>17</v>
      </c>
      <c r="D28" t="s">
        <v>43</v>
      </c>
      <c r="E28" t="s">
        <v>44</v>
      </c>
      <c r="F28" s="3">
        <f>GoogleDistance!E27</f>
        <v>1.7</v>
      </c>
      <c r="H28" t="str">
        <f t="shared" si="1"/>
        <v>update x set distance = 1.7 from storecompetitorstorexref x where storecompetitorstorexref = 35</v>
      </c>
      <c r="U28">
        <f>Table1[[#This Row],[StoreCompetitorStoreXRef]]</f>
        <v>35</v>
      </c>
      <c r="V28" t="str">
        <f t="shared" si="2"/>
        <v>28.6095830000000010</v>
      </c>
      <c r="W28" t="str">
        <f t="shared" si="3"/>
        <v>-96.6348978999999990</v>
      </c>
      <c r="X28" t="str">
        <f t="shared" si="4"/>
        <v>28.6270554000000000</v>
      </c>
      <c r="Y28" t="str">
        <f t="shared" si="5"/>
        <v>-96.6399649000000000</v>
      </c>
      <c r="AA28">
        <f t="shared" si="6"/>
        <v>0.26566589487716796</v>
      </c>
      <c r="AC28" s="14" t="str">
        <f t="shared" si="0"/>
        <v>N</v>
      </c>
      <c r="AD28" t="str">
        <f t="shared" si="7"/>
        <v>update x set bearing = 'N' from storecompetitorstorexref x where storecompetitorstorexref = 35</v>
      </c>
    </row>
    <row r="29" spans="1:30" hidden="1" x14ac:dyDescent="0.25">
      <c r="A29">
        <v>38</v>
      </c>
      <c r="B29" t="s">
        <v>42</v>
      </c>
      <c r="C29" t="s">
        <v>45</v>
      </c>
      <c r="D29" t="s">
        <v>43</v>
      </c>
      <c r="E29" t="s">
        <v>46</v>
      </c>
      <c r="F29" s="3">
        <f>GoogleDistance!E28</f>
        <v>1.1000000000000001</v>
      </c>
      <c r="H29" t="str">
        <f t="shared" si="1"/>
        <v>update x set distance = 1.1 from storecompetitorstorexref x where storecompetitorstorexref = 38</v>
      </c>
      <c r="U29">
        <f>Table1[[#This Row],[StoreCompetitorStoreXRef]]</f>
        <v>38</v>
      </c>
      <c r="V29" t="str">
        <f t="shared" si="2"/>
        <v>28.6095830000000010</v>
      </c>
      <c r="W29" t="str">
        <f t="shared" si="3"/>
        <v>-96.6348978999999990</v>
      </c>
      <c r="X29" t="str">
        <f t="shared" si="4"/>
        <v>28.6123084000000000</v>
      </c>
      <c r="Y29" t="str">
        <f t="shared" si="5"/>
        <v>-96.6450867000000000</v>
      </c>
      <c r="AA29">
        <f t="shared" si="6"/>
        <v>1.2929627535805408</v>
      </c>
      <c r="AC29" s="14" t="str">
        <f t="shared" si="0"/>
        <v>N</v>
      </c>
      <c r="AD29" t="str">
        <f t="shared" si="7"/>
        <v>update x set bearing = 'N' from storecompetitorstorexref x where storecompetitorstorexref = 38</v>
      </c>
    </row>
    <row r="30" spans="1:30" hidden="1" x14ac:dyDescent="0.25">
      <c r="A30">
        <v>102</v>
      </c>
      <c r="B30" t="s">
        <v>42</v>
      </c>
      <c r="C30" t="s">
        <v>47</v>
      </c>
      <c r="D30" t="s">
        <v>43</v>
      </c>
      <c r="E30" t="s">
        <v>48</v>
      </c>
      <c r="F30" s="3">
        <f>GoogleDistance!E29</f>
        <v>2.1</v>
      </c>
      <c r="H30" t="str">
        <f t="shared" si="1"/>
        <v>update x set distance = 2.1 from storecompetitorstorexref x where storecompetitorstorexref = 102</v>
      </c>
      <c r="U30">
        <f>Table1[[#This Row],[StoreCompetitorStoreXRef]]</f>
        <v>102</v>
      </c>
      <c r="V30" t="str">
        <f t="shared" si="2"/>
        <v>28.6095830000000010</v>
      </c>
      <c r="W30" t="str">
        <f t="shared" si="3"/>
        <v>-96.6348978999999990</v>
      </c>
      <c r="X30" t="str">
        <f t="shared" si="4"/>
        <v>28.6329179000000000</v>
      </c>
      <c r="Y30" t="str">
        <f t="shared" si="5"/>
        <v>-96.6289909000000000</v>
      </c>
      <c r="AA30">
        <f t="shared" si="6"/>
        <v>-0.23271082926160691</v>
      </c>
      <c r="AC30" s="14" t="str">
        <f t="shared" si="0"/>
        <v>N</v>
      </c>
      <c r="AD30" t="str">
        <f t="shared" si="7"/>
        <v>update x set bearing = 'N' from storecompetitorstorexref x where storecompetitorstorexref = 102</v>
      </c>
    </row>
    <row r="31" spans="1:30" hidden="1" x14ac:dyDescent="0.25">
      <c r="A31">
        <v>116</v>
      </c>
      <c r="B31" t="s">
        <v>42</v>
      </c>
      <c r="C31" t="s">
        <v>49</v>
      </c>
      <c r="D31" t="s">
        <v>43</v>
      </c>
      <c r="E31" t="s">
        <v>50</v>
      </c>
      <c r="F31" s="3">
        <f>GoogleDistance!E30</f>
        <v>2.7</v>
      </c>
      <c r="H31" t="str">
        <f t="shared" si="1"/>
        <v>update x set distance = 2.7 from storecompetitorstorexref x where storecompetitorstorexref = 116</v>
      </c>
      <c r="U31">
        <f>Table1[[#This Row],[StoreCompetitorStoreXRef]]</f>
        <v>116</v>
      </c>
      <c r="V31" t="str">
        <f t="shared" si="2"/>
        <v>28.6095830000000010</v>
      </c>
      <c r="W31" t="str">
        <f t="shared" si="3"/>
        <v>-96.6348978999999990</v>
      </c>
      <c r="X31" t="str">
        <f t="shared" si="4"/>
        <v>28.6375971000000000</v>
      </c>
      <c r="Y31" t="str">
        <f t="shared" si="5"/>
        <v>-96.6194072000000000</v>
      </c>
      <c r="AA31">
        <f t="shared" si="6"/>
        <v>-0.47655723539350475</v>
      </c>
      <c r="AC31" s="14" t="str">
        <f t="shared" si="0"/>
        <v>N</v>
      </c>
      <c r="AD31" t="str">
        <f t="shared" si="7"/>
        <v>update x set bearing = 'N' from storecompetitorstorexref x where storecompetitorstorexref = 116</v>
      </c>
    </row>
    <row r="32" spans="1:30" hidden="1" x14ac:dyDescent="0.25">
      <c r="A32">
        <v>41</v>
      </c>
      <c r="B32" t="s">
        <v>51</v>
      </c>
      <c r="C32" t="s">
        <v>52</v>
      </c>
      <c r="D32" t="s">
        <v>53</v>
      </c>
      <c r="E32" t="s">
        <v>54</v>
      </c>
      <c r="F32" s="3">
        <f>GoogleDistance!E31</f>
        <v>1.8</v>
      </c>
      <c r="H32" t="str">
        <f t="shared" si="1"/>
        <v>update x set distance = 1.8 from storecompetitorstorexref x where storecompetitorstorexref = 41</v>
      </c>
      <c r="U32">
        <f>Table1[[#This Row],[StoreCompetitorStoreXRef]]</f>
        <v>41</v>
      </c>
      <c r="V32" t="str">
        <f t="shared" si="2"/>
        <v>29.1848379999999990</v>
      </c>
      <c r="W32" t="str">
        <f t="shared" si="3"/>
        <v>-95.4090489999999960</v>
      </c>
      <c r="X32" t="str">
        <f t="shared" si="4"/>
        <v>29.1830403000000000</v>
      </c>
      <c r="Y32" t="str">
        <f t="shared" si="5"/>
        <v>-95.4359475000000000</v>
      </c>
      <c r="AA32">
        <f t="shared" si="6"/>
        <v>1.6685858006206542</v>
      </c>
      <c r="AC32" s="14" t="str">
        <f t="shared" si="0"/>
        <v>N</v>
      </c>
      <c r="AD32" t="str">
        <f t="shared" si="7"/>
        <v>update x set bearing = 'N' from storecompetitorstorexref x where storecompetitorstorexref = 41</v>
      </c>
    </row>
    <row r="33" spans="1:30" hidden="1" x14ac:dyDescent="0.25">
      <c r="A33">
        <v>43</v>
      </c>
      <c r="B33" t="s">
        <v>51</v>
      </c>
      <c r="C33" t="s">
        <v>55</v>
      </c>
      <c r="D33" t="s">
        <v>53</v>
      </c>
      <c r="E33" t="s">
        <v>56</v>
      </c>
      <c r="F33" s="3">
        <f>GoogleDistance!E32</f>
        <v>1.4</v>
      </c>
      <c r="H33" t="str">
        <f t="shared" si="1"/>
        <v>update x set distance = 1.4 from storecompetitorstorexref x where storecompetitorstorexref = 43</v>
      </c>
      <c r="U33">
        <f>Table1[[#This Row],[StoreCompetitorStoreXRef]]</f>
        <v>43</v>
      </c>
      <c r="V33" t="str">
        <f t="shared" si="2"/>
        <v>29.1848379999999990</v>
      </c>
      <c r="W33" t="str">
        <f t="shared" si="3"/>
        <v>-95.4090489999999960</v>
      </c>
      <c r="X33" t="str">
        <f t="shared" si="4"/>
        <v>29.1714390000000000</v>
      </c>
      <c r="Y33" t="str">
        <f t="shared" si="5"/>
        <v>-95.4196187000000000</v>
      </c>
      <c r="AA33">
        <f t="shared" si="6"/>
        <v>2.6834338386700249</v>
      </c>
      <c r="AC33" s="14" t="str">
        <f t="shared" si="0"/>
        <v>N</v>
      </c>
      <c r="AD33" t="str">
        <f t="shared" si="7"/>
        <v>update x set bearing = 'N' from storecompetitorstorexref x where storecompetitorstorexref = 43</v>
      </c>
    </row>
    <row r="34" spans="1:30" hidden="1" x14ac:dyDescent="0.25">
      <c r="A34">
        <v>163</v>
      </c>
      <c r="B34" t="s">
        <v>51</v>
      </c>
      <c r="C34" t="s">
        <v>57</v>
      </c>
      <c r="D34" t="s">
        <v>53</v>
      </c>
      <c r="E34" t="s">
        <v>58</v>
      </c>
      <c r="F34" s="3">
        <f>GoogleDistance!E33</f>
        <v>1.7</v>
      </c>
      <c r="H34" t="str">
        <f t="shared" si="1"/>
        <v>update x set distance = 1.7 from storecompetitorstorexref x where storecompetitorstorexref = 163</v>
      </c>
      <c r="U34">
        <f>Table1[[#This Row],[StoreCompetitorStoreXRef]]</f>
        <v>163</v>
      </c>
      <c r="V34" t="str">
        <f t="shared" si="2"/>
        <v>29.1848379999999990</v>
      </c>
      <c r="W34" t="str">
        <f t="shared" si="3"/>
        <v>-95.4090489999999960</v>
      </c>
      <c r="X34" t="str">
        <f t="shared" si="4"/>
        <v>29.1832904000000000</v>
      </c>
      <c r="Y34" t="str">
        <f t="shared" si="5"/>
        <v>-95.4322897000000000</v>
      </c>
      <c r="AA34">
        <f t="shared" si="6"/>
        <v>1.6696568281844673</v>
      </c>
      <c r="AC34" s="14" t="str">
        <f t="shared" si="0"/>
        <v>N</v>
      </c>
      <c r="AD34" t="str">
        <f t="shared" si="7"/>
        <v>update x set bearing = 'N' from storecompetitorstorexref x where storecompetitorstorexref = 163</v>
      </c>
    </row>
    <row r="35" spans="1:30" hidden="1" x14ac:dyDescent="0.25">
      <c r="A35">
        <v>117</v>
      </c>
      <c r="B35" t="s">
        <v>59</v>
      </c>
      <c r="C35" t="s">
        <v>60</v>
      </c>
      <c r="D35" t="s">
        <v>61</v>
      </c>
      <c r="E35" t="s">
        <v>62</v>
      </c>
      <c r="F35" s="3">
        <f>GoogleDistance!E34</f>
        <v>2.1</v>
      </c>
      <c r="H35" t="str">
        <f t="shared" si="1"/>
        <v>update x set distance = 2.1 from storecompetitorstorexref x where storecompetitorstorexref = 117</v>
      </c>
      <c r="U35">
        <f>Table1[[#This Row],[StoreCompetitorStoreXRef]]</f>
        <v>117</v>
      </c>
      <c r="V35" t="str">
        <f t="shared" si="2"/>
        <v>29.4301540000000020</v>
      </c>
      <c r="W35" t="str">
        <f t="shared" si="3"/>
        <v>-95.2263669999999960</v>
      </c>
      <c r="X35" t="str">
        <f t="shared" si="4"/>
        <v>29.4046675000000000</v>
      </c>
      <c r="Y35" t="str">
        <f t="shared" si="5"/>
        <v>-95.2375375000000000</v>
      </c>
      <c r="AA35">
        <f t="shared" si="6"/>
        <v>2.9566660535527571</v>
      </c>
      <c r="AC35" s="14" t="str">
        <f t="shared" si="0"/>
        <v>N</v>
      </c>
      <c r="AD35" t="str">
        <f t="shared" si="7"/>
        <v>update x set bearing = 'N' from storecompetitorstorexref x where storecompetitorstorexref = 117</v>
      </c>
    </row>
    <row r="36" spans="1:30" hidden="1" x14ac:dyDescent="0.25">
      <c r="A36">
        <v>130</v>
      </c>
      <c r="B36" t="s">
        <v>59</v>
      </c>
      <c r="C36" t="s">
        <v>47</v>
      </c>
      <c r="D36" t="s">
        <v>61</v>
      </c>
      <c r="E36" t="s">
        <v>63</v>
      </c>
      <c r="F36" s="3">
        <f>GoogleDistance!E35</f>
        <v>0.8</v>
      </c>
      <c r="H36" t="str">
        <f t="shared" si="1"/>
        <v>update x set distance = 0.8 from storecompetitorstorexref x where storecompetitorstorexref = 130</v>
      </c>
      <c r="U36">
        <f>Table1[[#This Row],[StoreCompetitorStoreXRef]]</f>
        <v>130</v>
      </c>
      <c r="V36" t="str">
        <f t="shared" si="2"/>
        <v>29.4301540000000020</v>
      </c>
      <c r="W36" t="str">
        <f t="shared" si="3"/>
        <v>-95.2263669999999960</v>
      </c>
      <c r="X36" t="str">
        <f t="shared" si="4"/>
        <v>29.4232758000000000</v>
      </c>
      <c r="Y36" t="str">
        <f t="shared" si="5"/>
        <v>-95.2313217000000000</v>
      </c>
      <c r="AA36">
        <f t="shared" si="6"/>
        <v>2.8545938360227967</v>
      </c>
      <c r="AC36" s="14" t="str">
        <f t="shared" si="0"/>
        <v>N</v>
      </c>
      <c r="AD36" t="str">
        <f t="shared" si="7"/>
        <v>update x set bearing = 'N' from storecompetitorstorexref x where storecompetitorstorexref = 130</v>
      </c>
    </row>
    <row r="37" spans="1:30" hidden="1" x14ac:dyDescent="0.25">
      <c r="A37">
        <v>198</v>
      </c>
      <c r="B37" t="s">
        <v>59</v>
      </c>
      <c r="C37" t="s">
        <v>64</v>
      </c>
      <c r="D37" t="s">
        <v>61</v>
      </c>
      <c r="E37" t="s">
        <v>65</v>
      </c>
      <c r="F37" s="3">
        <f>GoogleDistance!E36</f>
        <v>1.4</v>
      </c>
      <c r="H37" t="str">
        <f t="shared" si="1"/>
        <v>update x set distance = 1.4 from storecompetitorstorexref x where storecompetitorstorexref = 198</v>
      </c>
      <c r="U37">
        <f>Table1[[#This Row],[StoreCompetitorStoreXRef]]</f>
        <v>198</v>
      </c>
      <c r="V37" t="str">
        <f t="shared" si="2"/>
        <v>29.4301540000000020</v>
      </c>
      <c r="W37" t="str">
        <f t="shared" si="3"/>
        <v>-95.2263669999999960</v>
      </c>
      <c r="X37" t="str">
        <f t="shared" si="4"/>
        <v>29.4297042000000000</v>
      </c>
      <c r="Y37" t="str">
        <f t="shared" si="5"/>
        <v>-95.2452331000000000</v>
      </c>
      <c r="AA37">
        <f t="shared" si="6"/>
        <v>1.6211999929266578</v>
      </c>
      <c r="AC37" s="14" t="str">
        <f t="shared" si="0"/>
        <v>N</v>
      </c>
      <c r="AD37" t="str">
        <f t="shared" si="7"/>
        <v>update x set bearing = 'N' from storecompetitorstorexref x where storecompetitorstorexref = 198</v>
      </c>
    </row>
    <row r="38" spans="1:30" hidden="1" x14ac:dyDescent="0.25">
      <c r="A38">
        <v>238</v>
      </c>
      <c r="B38" t="s">
        <v>59</v>
      </c>
      <c r="C38" t="s">
        <v>66</v>
      </c>
      <c r="D38" t="s">
        <v>61</v>
      </c>
      <c r="E38" t="s">
        <v>67</v>
      </c>
      <c r="F38" s="3">
        <f>GoogleDistance!E37</f>
        <v>4.8</v>
      </c>
      <c r="H38" t="str">
        <f t="shared" si="1"/>
        <v>update x set distance = 4.8 from storecompetitorstorexref x where storecompetitorstorexref = 238</v>
      </c>
      <c r="U38">
        <f>Table1[[#This Row],[StoreCompetitorStoreXRef]]</f>
        <v>238</v>
      </c>
      <c r="V38" t="str">
        <f t="shared" si="2"/>
        <v>29.4301540000000020</v>
      </c>
      <c r="W38" t="str">
        <f t="shared" si="3"/>
        <v>-95.2263669999999960</v>
      </c>
      <c r="X38" t="str">
        <f t="shared" si="4"/>
        <v>29.3701293000000000</v>
      </c>
      <c r="Y38" t="str">
        <f t="shared" si="5"/>
        <v>-95.2535997000000000</v>
      </c>
      <c r="AA38">
        <f t="shared" si="6"/>
        <v>2.9363937274693557</v>
      </c>
      <c r="AC38" s="14" t="str">
        <f t="shared" si="0"/>
        <v>N</v>
      </c>
      <c r="AD38" t="str">
        <f t="shared" si="7"/>
        <v>update x set bearing = 'N' from storecompetitorstorexref x where storecompetitorstorexref = 238</v>
      </c>
    </row>
    <row r="39" spans="1:30" hidden="1" x14ac:dyDescent="0.25">
      <c r="A39">
        <v>377</v>
      </c>
      <c r="B39" t="s">
        <v>59</v>
      </c>
      <c r="C39" t="s">
        <v>68</v>
      </c>
      <c r="D39" t="s">
        <v>61</v>
      </c>
      <c r="E39" t="s">
        <v>69</v>
      </c>
      <c r="F39" s="3">
        <f>GoogleDistance!E38</f>
        <v>0.7</v>
      </c>
      <c r="H39" t="str">
        <f t="shared" si="1"/>
        <v>update x set distance = 0.7 from storecompetitorstorexref x where storecompetitorstorexref = 377</v>
      </c>
      <c r="U39">
        <f>Table1[[#This Row],[StoreCompetitorStoreXRef]]</f>
        <v>377</v>
      </c>
      <c r="V39" t="str">
        <f t="shared" si="2"/>
        <v>29.4301540000000020</v>
      </c>
      <c r="W39" t="str">
        <f t="shared" si="3"/>
        <v>-95.2263669999999960</v>
      </c>
      <c r="X39" t="str">
        <f t="shared" si="4"/>
        <v>29.4239446000000000</v>
      </c>
      <c r="Y39" t="str">
        <f t="shared" si="5"/>
        <v>-95.2303351000000000</v>
      </c>
      <c r="AA39">
        <f t="shared" si="6"/>
        <v>2.8859185409106356</v>
      </c>
      <c r="AC39" s="14" t="str">
        <f t="shared" si="0"/>
        <v>N</v>
      </c>
      <c r="AD39" t="str">
        <f t="shared" si="7"/>
        <v>update x set bearing = 'N' from storecompetitorstorexref x where storecompetitorstorexref = 377</v>
      </c>
    </row>
    <row r="40" spans="1:30" hidden="1" x14ac:dyDescent="0.25">
      <c r="A40">
        <v>47</v>
      </c>
      <c r="B40" t="s">
        <v>70</v>
      </c>
      <c r="C40" t="s">
        <v>71</v>
      </c>
      <c r="D40" t="s">
        <v>72</v>
      </c>
      <c r="E40" t="s">
        <v>73</v>
      </c>
      <c r="F40" s="3">
        <f>GoogleDistance!E39</f>
        <v>0.8</v>
      </c>
      <c r="H40" t="str">
        <f t="shared" si="1"/>
        <v>update x set distance = 0.8 from storecompetitorstorexref x where storecompetitorstorexref = 47</v>
      </c>
      <c r="U40">
        <f>Table1[[#This Row],[StoreCompetitorStoreXRef]]</f>
        <v>47</v>
      </c>
      <c r="V40" t="str">
        <f t="shared" si="2"/>
        <v>29.5152290999999990</v>
      </c>
      <c r="W40" t="str">
        <f t="shared" si="3"/>
        <v>-97.4624484000000000</v>
      </c>
      <c r="X40" t="str">
        <f t="shared" si="4"/>
        <v>29.5199588000000000</v>
      </c>
      <c r="Y40" t="str">
        <f t="shared" si="5"/>
        <v>-97.4534596000000000</v>
      </c>
      <c r="AA40">
        <f t="shared" si="6"/>
        <v>-0.5445167905224042</v>
      </c>
      <c r="AC40" s="14" t="str">
        <f t="shared" si="0"/>
        <v>N</v>
      </c>
      <c r="AD40" t="str">
        <f t="shared" si="7"/>
        <v>update x set bearing = 'N' from storecompetitorstorexref x where storecompetitorstorexref = 47</v>
      </c>
    </row>
    <row r="41" spans="1:30" hidden="1" x14ac:dyDescent="0.25">
      <c r="A41">
        <v>48</v>
      </c>
      <c r="B41" t="s">
        <v>70</v>
      </c>
      <c r="C41" t="s">
        <v>74</v>
      </c>
      <c r="D41" t="s">
        <v>72</v>
      </c>
      <c r="E41" t="s">
        <v>75</v>
      </c>
      <c r="F41" s="3">
        <f>GoogleDistance!E40</f>
        <v>3.5</v>
      </c>
      <c r="H41" t="str">
        <f t="shared" si="1"/>
        <v>update x set distance = 3.5 from storecompetitorstorexref x where storecompetitorstorexref = 48</v>
      </c>
      <c r="U41">
        <f>Table1[[#This Row],[StoreCompetitorStoreXRef]]</f>
        <v>48</v>
      </c>
      <c r="V41" t="str">
        <f t="shared" si="2"/>
        <v>29.5152290999999990</v>
      </c>
      <c r="W41" t="str">
        <f t="shared" si="3"/>
        <v>-97.4624484000000000</v>
      </c>
      <c r="X41" t="str">
        <f t="shared" si="4"/>
        <v>29.4723738000000000</v>
      </c>
      <c r="Y41" t="str">
        <f t="shared" si="5"/>
        <v>-97.4471690000000000</v>
      </c>
      <c r="AA41">
        <f t="shared" si="6"/>
        <v>-3.0123167320165898</v>
      </c>
      <c r="AC41" s="14" t="str">
        <f t="shared" si="0"/>
        <v>N</v>
      </c>
      <c r="AD41" t="str">
        <f t="shared" si="7"/>
        <v>update x set bearing = 'N' from storecompetitorstorexref x where storecompetitorstorexref = 48</v>
      </c>
    </row>
    <row r="42" spans="1:30" hidden="1" x14ac:dyDescent="0.25">
      <c r="A42">
        <v>119</v>
      </c>
      <c r="B42" t="s">
        <v>70</v>
      </c>
      <c r="C42" t="s">
        <v>76</v>
      </c>
      <c r="D42" t="s">
        <v>72</v>
      </c>
      <c r="E42" t="s">
        <v>77</v>
      </c>
      <c r="F42" s="3">
        <f>GoogleDistance!E41</f>
        <v>0.2</v>
      </c>
      <c r="H42" t="str">
        <f t="shared" si="1"/>
        <v>update x set distance = 0.2 from storecompetitorstorexref x where storecompetitorstorexref = 119</v>
      </c>
      <c r="U42">
        <f>Table1[[#This Row],[StoreCompetitorStoreXRef]]</f>
        <v>119</v>
      </c>
      <c r="V42" t="str">
        <f t="shared" si="2"/>
        <v>29.5152290999999990</v>
      </c>
      <c r="W42" t="str">
        <f t="shared" si="3"/>
        <v>-97.4624484000000000</v>
      </c>
      <c r="X42" t="str">
        <f t="shared" si="4"/>
        <v>29.5152714000000000</v>
      </c>
      <c r="Y42" t="str">
        <f t="shared" si="5"/>
        <v>-97.4594600000000000</v>
      </c>
      <c r="AA42">
        <f t="shared" si="6"/>
        <v>-1.5257135481276756</v>
      </c>
      <c r="AC42" s="14" t="str">
        <f t="shared" si="0"/>
        <v>N</v>
      </c>
      <c r="AD42" t="str">
        <f t="shared" si="7"/>
        <v>update x set bearing = 'N' from storecompetitorstorexref x where storecompetitorstorexref = 119</v>
      </c>
    </row>
    <row r="43" spans="1:30" hidden="1" x14ac:dyDescent="0.25">
      <c r="A43">
        <v>189</v>
      </c>
      <c r="B43" t="s">
        <v>70</v>
      </c>
      <c r="C43" t="s">
        <v>17</v>
      </c>
      <c r="D43" t="s">
        <v>72</v>
      </c>
      <c r="E43" t="s">
        <v>78</v>
      </c>
      <c r="F43" s="3">
        <f>GoogleDistance!E42</f>
        <v>1</v>
      </c>
      <c r="H43" t="str">
        <f t="shared" si="1"/>
        <v>update x set distance = 1 from storecompetitorstorexref x where storecompetitorstorexref = 189</v>
      </c>
      <c r="U43">
        <f>Table1[[#This Row],[StoreCompetitorStoreXRef]]</f>
        <v>189</v>
      </c>
      <c r="V43" t="str">
        <f t="shared" si="2"/>
        <v>29.5152290999999990</v>
      </c>
      <c r="W43" t="str">
        <f t="shared" si="3"/>
        <v>-97.4624484000000000</v>
      </c>
      <c r="X43" t="str">
        <f t="shared" si="4"/>
        <v>29.5177115000000000</v>
      </c>
      <c r="Y43" t="str">
        <f t="shared" si="5"/>
        <v>-97.4527587000000000</v>
      </c>
      <c r="AA43">
        <f t="shared" si="6"/>
        <v>-0.89532121073035908</v>
      </c>
      <c r="AC43" s="14" t="str">
        <f t="shared" si="0"/>
        <v>N</v>
      </c>
      <c r="AD43" t="str">
        <f t="shared" si="7"/>
        <v>update x set bearing = 'N' from storecompetitorstorexref x where storecompetitorstorexref = 189</v>
      </c>
    </row>
    <row r="44" spans="1:30" hidden="1" x14ac:dyDescent="0.25">
      <c r="A44">
        <v>294</v>
      </c>
      <c r="B44" t="s">
        <v>70</v>
      </c>
      <c r="C44" t="s">
        <v>79</v>
      </c>
      <c r="D44" t="s">
        <v>72</v>
      </c>
      <c r="E44" t="s">
        <v>80</v>
      </c>
      <c r="F44" s="3">
        <f>GoogleDistance!E43</f>
        <v>0.4</v>
      </c>
      <c r="H44" t="str">
        <f t="shared" si="1"/>
        <v>update x set distance = 0.4 from storecompetitorstorexref x where storecompetitorstorexref = 294</v>
      </c>
      <c r="U44">
        <f>Table1[[#This Row],[StoreCompetitorStoreXRef]]</f>
        <v>294</v>
      </c>
      <c r="V44" t="str">
        <f t="shared" si="2"/>
        <v>29.5152290999999990</v>
      </c>
      <c r="W44" t="str">
        <f t="shared" si="3"/>
        <v>-97.4624484000000000</v>
      </c>
      <c r="X44" t="str">
        <f t="shared" si="4"/>
        <v>29.5145443000000000</v>
      </c>
      <c r="Y44" t="str">
        <f t="shared" si="5"/>
        <v>-97.4643354000000000</v>
      </c>
      <c r="AA44">
        <f t="shared" si="6"/>
        <v>2.4114591786945709</v>
      </c>
      <c r="AC44" s="14" t="str">
        <f t="shared" si="0"/>
        <v>N</v>
      </c>
      <c r="AD44" t="str">
        <f t="shared" si="7"/>
        <v>update x set bearing = 'N' from storecompetitorstorexref x where storecompetitorstorexref = 294</v>
      </c>
    </row>
    <row r="45" spans="1:30" hidden="1" x14ac:dyDescent="0.25">
      <c r="A45">
        <v>295</v>
      </c>
      <c r="B45" t="s">
        <v>70</v>
      </c>
      <c r="C45" t="s">
        <v>81</v>
      </c>
      <c r="D45" t="s">
        <v>72</v>
      </c>
      <c r="E45" t="s">
        <v>82</v>
      </c>
      <c r="F45" s="3">
        <f>GoogleDistance!E44</f>
        <v>1.6</v>
      </c>
      <c r="H45" t="str">
        <f t="shared" si="1"/>
        <v>update x set distance = 1.6 from storecompetitorstorexref x where storecompetitorstorexref = 295</v>
      </c>
      <c r="U45">
        <f>Table1[[#This Row],[StoreCompetitorStoreXRef]]</f>
        <v>295</v>
      </c>
      <c r="V45" t="str">
        <f t="shared" si="2"/>
        <v>29.5152290999999990</v>
      </c>
      <c r="W45" t="str">
        <f t="shared" si="3"/>
        <v>-97.4624484000000000</v>
      </c>
      <c r="X45" t="str">
        <f t="shared" si="4"/>
        <v>29.5203894000000000</v>
      </c>
      <c r="Y45" t="str">
        <f t="shared" si="5"/>
        <v>-97.4397408000000000</v>
      </c>
      <c r="AA45">
        <f t="shared" si="6"/>
        <v>-0.94477325958513603</v>
      </c>
      <c r="AC45" s="14" t="str">
        <f t="shared" si="0"/>
        <v>N</v>
      </c>
      <c r="AD45" t="str">
        <f t="shared" si="7"/>
        <v>update x set bearing = 'N' from storecompetitorstorexref x where storecompetitorstorexref = 295</v>
      </c>
    </row>
    <row r="46" spans="1:30" hidden="1" x14ac:dyDescent="0.25">
      <c r="A46">
        <v>316</v>
      </c>
      <c r="B46" t="s">
        <v>70</v>
      </c>
      <c r="C46" t="s">
        <v>83</v>
      </c>
      <c r="D46" t="s">
        <v>72</v>
      </c>
      <c r="E46" t="s">
        <v>84</v>
      </c>
      <c r="F46" s="3">
        <f>GoogleDistance!E45</f>
        <v>0.8</v>
      </c>
      <c r="H46" t="str">
        <f t="shared" si="1"/>
        <v>update x set distance = 0.8 from storecompetitorstorexref x where storecompetitorstorexref = 316</v>
      </c>
      <c r="U46">
        <f>Table1[[#This Row],[StoreCompetitorStoreXRef]]</f>
        <v>316</v>
      </c>
      <c r="V46" t="str">
        <f t="shared" si="2"/>
        <v>29.5152290999999990</v>
      </c>
      <c r="W46" t="str">
        <f t="shared" si="3"/>
        <v>-97.4624484000000000</v>
      </c>
      <c r="X46" t="str">
        <f t="shared" si="4"/>
        <v>29.5181070000000000</v>
      </c>
      <c r="Y46" t="str">
        <f t="shared" si="5"/>
        <v>-97.4509122000000000</v>
      </c>
      <c r="AA46">
        <f t="shared" si="6"/>
        <v>-0.90707606684866815</v>
      </c>
      <c r="AC46" s="14" t="str">
        <f t="shared" si="0"/>
        <v>N</v>
      </c>
      <c r="AD46" t="str">
        <f t="shared" si="7"/>
        <v>update x set bearing = 'N' from storecompetitorstorexref x where storecompetitorstorexref = 316</v>
      </c>
    </row>
    <row r="47" spans="1:30" hidden="1" x14ac:dyDescent="0.25">
      <c r="A47">
        <v>330</v>
      </c>
      <c r="B47" t="s">
        <v>70</v>
      </c>
      <c r="C47" t="s">
        <v>85</v>
      </c>
      <c r="D47" t="s">
        <v>72</v>
      </c>
      <c r="E47" t="s">
        <v>86</v>
      </c>
      <c r="F47" s="3">
        <f>GoogleDistance!E46</f>
        <v>0.3</v>
      </c>
      <c r="H47" t="str">
        <f t="shared" si="1"/>
        <v>update x set distance = 0.3 from storecompetitorstorexref x where storecompetitorstorexref = 330</v>
      </c>
      <c r="U47">
        <f>Table1[[#This Row],[StoreCompetitorStoreXRef]]</f>
        <v>330</v>
      </c>
      <c r="V47" t="str">
        <f t="shared" si="2"/>
        <v>29.5152290999999990</v>
      </c>
      <c r="W47" t="str">
        <f t="shared" si="3"/>
        <v>-97.4624484000000000</v>
      </c>
      <c r="X47" t="str">
        <f t="shared" si="4"/>
        <v>29.5166450000000000</v>
      </c>
      <c r="Y47" t="str">
        <f t="shared" si="5"/>
        <v>-97.4604712000000000</v>
      </c>
      <c r="AA47">
        <f t="shared" si="6"/>
        <v>-0.42311223374672552</v>
      </c>
      <c r="AC47" s="14" t="str">
        <f t="shared" si="0"/>
        <v>N</v>
      </c>
      <c r="AD47" t="str">
        <f t="shared" si="7"/>
        <v>update x set bearing = 'N' from storecompetitorstorexref x where storecompetitorstorexref = 330</v>
      </c>
    </row>
    <row r="48" spans="1:30" hidden="1" x14ac:dyDescent="0.25">
      <c r="A48">
        <v>342</v>
      </c>
      <c r="B48" t="s">
        <v>70</v>
      </c>
      <c r="C48" t="s">
        <v>89</v>
      </c>
      <c r="D48" t="s">
        <v>72</v>
      </c>
      <c r="E48" t="s">
        <v>90</v>
      </c>
      <c r="F48" s="3">
        <f>GoogleDistance!E47</f>
        <v>0.8</v>
      </c>
      <c r="H48" t="str">
        <f t="shared" si="1"/>
        <v>update x set distance = 0.8 from storecompetitorstorexref x where storecompetitorstorexref = 342</v>
      </c>
      <c r="U48">
        <f>Table1[[#This Row],[StoreCompetitorStoreXRef]]</f>
        <v>342</v>
      </c>
      <c r="V48" t="str">
        <f t="shared" si="2"/>
        <v>29.5152290999999990</v>
      </c>
      <c r="W48" t="str">
        <f t="shared" si="3"/>
        <v>-97.4624484000000000</v>
      </c>
      <c r="X48" t="str">
        <f t="shared" si="4"/>
        <v>29.5201128000000000</v>
      </c>
      <c r="Y48" t="str">
        <f t="shared" si="5"/>
        <v>-97.4521614000000000</v>
      </c>
      <c r="AA48">
        <f t="shared" si="6"/>
        <v>-0.59059765134522435</v>
      </c>
      <c r="AC48" s="14" t="str">
        <f t="shared" si="0"/>
        <v>N</v>
      </c>
      <c r="AD48" t="str">
        <f t="shared" si="7"/>
        <v>update x set bearing = 'N' from storecompetitorstorexref x where storecompetitorstorexref = 342</v>
      </c>
    </row>
    <row r="49" spans="1:30" hidden="1" x14ac:dyDescent="0.25">
      <c r="A49">
        <v>341</v>
      </c>
      <c r="B49" t="s">
        <v>70</v>
      </c>
      <c r="C49" t="s">
        <v>87</v>
      </c>
      <c r="D49" t="s">
        <v>72</v>
      </c>
      <c r="E49" t="s">
        <v>88</v>
      </c>
      <c r="F49" s="3">
        <f>GoogleDistance!E48</f>
        <v>3.5</v>
      </c>
      <c r="H49" t="str">
        <f t="shared" si="1"/>
        <v>update x set distance = 3.5 from storecompetitorstorexref x where storecompetitorstorexref = 341</v>
      </c>
      <c r="U49">
        <f>Table1[[#This Row],[StoreCompetitorStoreXRef]]</f>
        <v>341</v>
      </c>
      <c r="V49" t="str">
        <f t="shared" si="2"/>
        <v>29.5152290999999990</v>
      </c>
      <c r="W49" t="str">
        <f t="shared" si="3"/>
        <v>-97.4624484000000000</v>
      </c>
      <c r="X49" t="str">
        <f t="shared" si="4"/>
        <v>29.4728232000000000</v>
      </c>
      <c r="Y49" t="str">
        <f t="shared" si="5"/>
        <v>-97.4472578000000000</v>
      </c>
      <c r="AA49">
        <f t="shared" si="6"/>
        <v>-3.0118614723647053</v>
      </c>
      <c r="AC49" s="14" t="str">
        <f t="shared" si="0"/>
        <v>N</v>
      </c>
      <c r="AD49" t="str">
        <f t="shared" si="7"/>
        <v>update x set bearing = 'N' from storecompetitorstorexref x where storecompetitorstorexref = 341</v>
      </c>
    </row>
    <row r="50" spans="1:30" hidden="1" x14ac:dyDescent="0.25">
      <c r="A50">
        <v>343</v>
      </c>
      <c r="B50" t="s">
        <v>70</v>
      </c>
      <c r="C50" t="s">
        <v>91</v>
      </c>
      <c r="D50" t="s">
        <v>72</v>
      </c>
      <c r="E50" t="s">
        <v>92</v>
      </c>
      <c r="F50" s="3">
        <f>GoogleDistance!E49</f>
        <v>1.5</v>
      </c>
      <c r="H50" t="str">
        <f t="shared" si="1"/>
        <v>update x set distance = 1.5 from storecompetitorstorexref x where storecompetitorstorexref = 343</v>
      </c>
      <c r="U50">
        <f>Table1[[#This Row],[StoreCompetitorStoreXRef]]</f>
        <v>343</v>
      </c>
      <c r="V50" t="str">
        <f t="shared" si="2"/>
        <v>29.5152290999999990</v>
      </c>
      <c r="W50" t="str">
        <f t="shared" si="3"/>
        <v>-97.4624484000000000</v>
      </c>
      <c r="X50" t="str">
        <f t="shared" si="4"/>
        <v>29.5224712000000000</v>
      </c>
      <c r="Y50" t="str">
        <f t="shared" si="5"/>
        <v>-97.4390610000000000</v>
      </c>
      <c r="AA50">
        <f t="shared" si="6"/>
        <v>-0.79158198944247926</v>
      </c>
      <c r="AC50" s="14" t="str">
        <f t="shared" si="0"/>
        <v>N</v>
      </c>
      <c r="AD50" t="str">
        <f t="shared" si="7"/>
        <v>update x set bearing = 'N' from storecompetitorstorexref x where storecompetitorstorexref = 343</v>
      </c>
    </row>
    <row r="51" spans="1:30" hidden="1" x14ac:dyDescent="0.25">
      <c r="A51">
        <v>54</v>
      </c>
      <c r="B51" t="s">
        <v>93</v>
      </c>
      <c r="C51" t="s">
        <v>97</v>
      </c>
      <c r="D51" t="s">
        <v>95</v>
      </c>
      <c r="E51" t="s">
        <v>98</v>
      </c>
      <c r="F51" s="3">
        <f>GoogleDistance!E50</f>
        <v>0.9</v>
      </c>
      <c r="H51" t="str">
        <f t="shared" si="1"/>
        <v>update x set distance = 0.9 from storecompetitorstorexref x where storecompetitorstorexref = 54</v>
      </c>
      <c r="U51">
        <f>Table1[[#This Row],[StoreCompetitorStoreXRef]]</f>
        <v>54</v>
      </c>
      <c r="V51" t="str">
        <f t="shared" si="2"/>
        <v>30.1791039999999990</v>
      </c>
      <c r="W51" t="str">
        <f t="shared" si="3"/>
        <v>-96.9125391999999980</v>
      </c>
      <c r="X51" t="str">
        <f t="shared" si="4"/>
        <v>30.1765710000000000</v>
      </c>
      <c r="Y51" t="str">
        <f t="shared" si="5"/>
        <v>-96.8985127000000000</v>
      </c>
      <c r="AA51">
        <f t="shared" si="6"/>
        <v>2.0825034868233798</v>
      </c>
      <c r="AC51" s="14" t="str">
        <f t="shared" si="0"/>
        <v>N</v>
      </c>
      <c r="AD51" t="str">
        <f t="shared" si="7"/>
        <v>update x set bearing = 'N' from storecompetitorstorexref x where storecompetitorstorexref = 54</v>
      </c>
    </row>
    <row r="52" spans="1:30" hidden="1" x14ac:dyDescent="0.25">
      <c r="A52">
        <v>52</v>
      </c>
      <c r="B52" t="s">
        <v>93</v>
      </c>
      <c r="C52" t="s">
        <v>94</v>
      </c>
      <c r="D52" t="s">
        <v>95</v>
      </c>
      <c r="E52" t="s">
        <v>96</v>
      </c>
      <c r="F52" s="3">
        <f>GoogleDistance!E51</f>
        <v>1.4</v>
      </c>
      <c r="H52" t="str">
        <f t="shared" si="1"/>
        <v>update x set distance = 1.4 from storecompetitorstorexref x where storecompetitorstorexref = 52</v>
      </c>
      <c r="U52">
        <f>Table1[[#This Row],[StoreCompetitorStoreXRef]]</f>
        <v>52</v>
      </c>
      <c r="V52" t="str">
        <f t="shared" si="2"/>
        <v>30.1791039999999990</v>
      </c>
      <c r="W52" t="str">
        <f t="shared" si="3"/>
        <v>-96.9125391999999980</v>
      </c>
      <c r="X52" t="str">
        <f t="shared" si="4"/>
        <v>30.1831558000000000</v>
      </c>
      <c r="Y52" t="str">
        <f t="shared" si="5"/>
        <v>-96.9351029000000000</v>
      </c>
      <c r="AA52">
        <f t="shared" si="6"/>
        <v>-1.0827545718318428</v>
      </c>
      <c r="AC52" s="14" t="str">
        <f t="shared" si="0"/>
        <v>N</v>
      </c>
      <c r="AD52" t="str">
        <f t="shared" si="7"/>
        <v>update x set bearing = 'N' from storecompetitorstorexref x where storecompetitorstorexref = 52</v>
      </c>
    </row>
    <row r="53" spans="1:30" hidden="1" x14ac:dyDescent="0.25">
      <c r="A53">
        <v>208</v>
      </c>
      <c r="B53" t="s">
        <v>93</v>
      </c>
      <c r="C53" t="s">
        <v>99</v>
      </c>
      <c r="D53" t="s">
        <v>95</v>
      </c>
      <c r="E53" t="s">
        <v>100</v>
      </c>
      <c r="F53" s="3">
        <f>GoogleDistance!E52</f>
        <v>0.8</v>
      </c>
      <c r="H53" t="str">
        <f t="shared" si="1"/>
        <v>update x set distance = 0.8 from storecompetitorstorexref x where storecompetitorstorexref = 208</v>
      </c>
      <c r="U53">
        <f>Table1[[#This Row],[StoreCompetitorStoreXRef]]</f>
        <v>208</v>
      </c>
      <c r="V53" t="str">
        <f t="shared" si="2"/>
        <v>30.1791039999999990</v>
      </c>
      <c r="W53" t="str">
        <f t="shared" si="3"/>
        <v>-96.9125391999999980</v>
      </c>
      <c r="X53" t="str">
        <f t="shared" si="4"/>
        <v>30.1800159000000000</v>
      </c>
      <c r="Y53" t="str">
        <f t="shared" si="5"/>
        <v>-96.9254504000000000</v>
      </c>
      <c r="AA53">
        <f t="shared" si="6"/>
        <v>-1.3649490896766734</v>
      </c>
      <c r="AC53" s="14" t="str">
        <f t="shared" si="0"/>
        <v>N</v>
      </c>
      <c r="AD53" t="str">
        <f t="shared" si="7"/>
        <v>update x set bearing = 'N' from storecompetitorstorexref x where storecompetitorstorexref = 208</v>
      </c>
    </row>
    <row r="54" spans="1:30" x14ac:dyDescent="0.25">
      <c r="A54">
        <v>215</v>
      </c>
      <c r="B54" t="s">
        <v>93</v>
      </c>
      <c r="C54" t="s">
        <v>101</v>
      </c>
      <c r="D54" t="s">
        <v>95</v>
      </c>
      <c r="E54" t="s">
        <v>102</v>
      </c>
      <c r="F54" s="3">
        <f>GoogleDistance!E53</f>
        <v>14.1</v>
      </c>
      <c r="H54" t="str">
        <f t="shared" si="1"/>
        <v>update x set distance = 14.1 from storecompetitorstorexref x where storecompetitorstorexref = 215</v>
      </c>
      <c r="U54">
        <f>Table1[[#This Row],[StoreCompetitorStoreXRef]]</f>
        <v>215</v>
      </c>
      <c r="V54" t="str">
        <f t="shared" si="2"/>
        <v>30.1791039999999990</v>
      </c>
      <c r="W54" t="str">
        <f t="shared" si="3"/>
        <v>-96.9125391999999980</v>
      </c>
      <c r="X54" t="str">
        <f t="shared" si="4"/>
        <v>30.1487469000000000</v>
      </c>
      <c r="Y54" t="str">
        <f t="shared" si="5"/>
        <v>-96.6876259000000000</v>
      </c>
      <c r="AA54">
        <f t="shared" si="6"/>
        <v>2.082733779511869</v>
      </c>
      <c r="AC54" s="14" t="str">
        <f t="shared" si="0"/>
        <v>N</v>
      </c>
      <c r="AD54" t="str">
        <f t="shared" si="7"/>
        <v>update x set bearing = 'N' from storecompetitorstorexref x where storecompetitorstorexref = 215</v>
      </c>
    </row>
    <row r="55" spans="1:30" hidden="1" x14ac:dyDescent="0.25">
      <c r="A55">
        <v>260</v>
      </c>
      <c r="B55" t="s">
        <v>93</v>
      </c>
      <c r="C55" t="s">
        <v>40</v>
      </c>
      <c r="D55" t="s">
        <v>95</v>
      </c>
      <c r="E55" t="s">
        <v>103</v>
      </c>
      <c r="F55" s="3">
        <f>GoogleDistance!E54</f>
        <v>1.3</v>
      </c>
      <c r="H55" t="str">
        <f t="shared" si="1"/>
        <v>update x set distance = 1.3 from storecompetitorstorexref x where storecompetitorstorexref = 260</v>
      </c>
      <c r="U55">
        <f>Table1[[#This Row],[StoreCompetitorStoreXRef]]</f>
        <v>260</v>
      </c>
      <c r="V55" t="str">
        <f t="shared" si="2"/>
        <v>30.1791039999999990</v>
      </c>
      <c r="W55" t="str">
        <f t="shared" si="3"/>
        <v>-96.9125391999999980</v>
      </c>
      <c r="X55" t="str">
        <f t="shared" si="4"/>
        <v>30.1817563000000000</v>
      </c>
      <c r="Y55" t="str">
        <f t="shared" si="5"/>
        <v>-96.9337867000000000</v>
      </c>
      <c r="AA55">
        <f t="shared" si="6"/>
        <v>-1.2182548260516515</v>
      </c>
      <c r="AC55" s="14" t="str">
        <f t="shared" si="0"/>
        <v>N</v>
      </c>
      <c r="AD55" t="str">
        <f t="shared" si="7"/>
        <v>update x set bearing = 'N' from storecompetitorstorexref x where storecompetitorstorexref = 260</v>
      </c>
    </row>
    <row r="56" spans="1:30" x14ac:dyDescent="0.25">
      <c r="A56">
        <v>311</v>
      </c>
      <c r="B56" t="s">
        <v>93</v>
      </c>
      <c r="C56" t="s">
        <v>104</v>
      </c>
      <c r="D56" t="s">
        <v>95</v>
      </c>
      <c r="E56" t="s">
        <v>105</v>
      </c>
      <c r="F56" s="3">
        <f>GoogleDistance!E55</f>
        <v>48.7</v>
      </c>
      <c r="H56" t="str">
        <f t="shared" si="1"/>
        <v>update x set distance = 48.7 from storecompetitorstorexref x where storecompetitorstorexref = 311</v>
      </c>
      <c r="U56">
        <f>Table1[[#This Row],[StoreCompetitorStoreXRef]]</f>
        <v>311</v>
      </c>
      <c r="V56" t="str">
        <f t="shared" si="2"/>
        <v>30.1791039999999990</v>
      </c>
      <c r="W56" t="str">
        <f t="shared" si="3"/>
        <v>-96.9125391999999980</v>
      </c>
      <c r="X56" t="str">
        <f t="shared" si="4"/>
        <v>30.1229760000000000</v>
      </c>
      <c r="Y56" t="str">
        <f t="shared" si="5"/>
        <v>-96.1504735000000000</v>
      </c>
      <c r="AA56">
        <f t="shared" si="6"/>
        <v>2.1643483059135704</v>
      </c>
      <c r="AC56" s="14" t="str">
        <f t="shared" si="0"/>
        <v>N</v>
      </c>
      <c r="AD56" t="str">
        <f t="shared" si="7"/>
        <v>update x set bearing = 'N' from storecompetitorstorexref x where storecompetitorstorexref = 311</v>
      </c>
    </row>
    <row r="57" spans="1:30" hidden="1" x14ac:dyDescent="0.25">
      <c r="A57">
        <v>329</v>
      </c>
      <c r="B57" t="s">
        <v>93</v>
      </c>
      <c r="C57" t="s">
        <v>106</v>
      </c>
      <c r="D57" t="s">
        <v>95</v>
      </c>
      <c r="E57" t="s">
        <v>107</v>
      </c>
      <c r="F57" s="3">
        <f>GoogleDistance!E56</f>
        <v>1</v>
      </c>
      <c r="H57" t="str">
        <f t="shared" si="1"/>
        <v>update x set distance = 1 from storecompetitorstorexref x where storecompetitorstorexref = 329</v>
      </c>
      <c r="U57">
        <f>Table1[[#This Row],[StoreCompetitorStoreXRef]]</f>
        <v>329</v>
      </c>
      <c r="V57" t="str">
        <f t="shared" si="2"/>
        <v>30.1791039999999990</v>
      </c>
      <c r="W57" t="str">
        <f t="shared" si="3"/>
        <v>-96.9125391999999980</v>
      </c>
      <c r="X57" t="str">
        <f t="shared" si="4"/>
        <v>30.1809870000000000</v>
      </c>
      <c r="Y57" t="str">
        <f t="shared" si="5"/>
        <v>-96.9297274000000000</v>
      </c>
      <c r="AA57">
        <f t="shared" si="6"/>
        <v>-1.2572003655874158</v>
      </c>
      <c r="AC57" s="14" t="str">
        <f t="shared" si="0"/>
        <v>N</v>
      </c>
      <c r="AD57" t="str">
        <f t="shared" si="7"/>
        <v>update x set bearing = 'N' from storecompetitorstorexref x where storecompetitorstorexref = 329</v>
      </c>
    </row>
    <row r="58" spans="1:30" hidden="1" x14ac:dyDescent="0.25">
      <c r="A58">
        <v>56</v>
      </c>
      <c r="B58" t="s">
        <v>108</v>
      </c>
      <c r="C58" t="s">
        <v>109</v>
      </c>
      <c r="D58" t="s">
        <v>110</v>
      </c>
      <c r="E58" t="s">
        <v>111</v>
      </c>
      <c r="F58" s="3">
        <f>GoogleDistance!E57</f>
        <v>0.4</v>
      </c>
      <c r="H58" t="str">
        <f t="shared" si="1"/>
        <v>update x set distance = 0.4 from storecompetitorstorexref x where storecompetitorstorexref = 56</v>
      </c>
      <c r="U58">
        <f>Table1[[#This Row],[StoreCompetitorStoreXRef]]</f>
        <v>56</v>
      </c>
      <c r="V58" t="str">
        <f t="shared" si="2"/>
        <v>29.6509779999999980</v>
      </c>
      <c r="W58" t="str">
        <f t="shared" si="3"/>
        <v>-97.5924219999999990</v>
      </c>
      <c r="X58" t="str">
        <f t="shared" si="4"/>
        <v>29.6536626000000000</v>
      </c>
      <c r="Y58" t="str">
        <f t="shared" si="5"/>
        <v>-97.5944600000000000</v>
      </c>
      <c r="AA58">
        <f t="shared" si="6"/>
        <v>0.14345219198549189</v>
      </c>
      <c r="AC58" s="14" t="str">
        <f t="shared" si="0"/>
        <v>N</v>
      </c>
      <c r="AD58" t="str">
        <f t="shared" si="7"/>
        <v>update x set bearing = 'N' from storecompetitorstorexref x where storecompetitorstorexref = 56</v>
      </c>
    </row>
    <row r="59" spans="1:30" hidden="1" x14ac:dyDescent="0.25">
      <c r="A59">
        <v>57</v>
      </c>
      <c r="B59" t="s">
        <v>112</v>
      </c>
      <c r="C59" t="s">
        <v>113</v>
      </c>
      <c r="D59" t="s">
        <v>114</v>
      </c>
      <c r="E59" t="s">
        <v>115</v>
      </c>
      <c r="F59" s="3">
        <f>GoogleDistance!E58</f>
        <v>0.9</v>
      </c>
      <c r="H59" t="str">
        <f t="shared" si="1"/>
        <v>update x set distance = 0.9 from storecompetitorstorexref x where storecompetitorstorexref = 57</v>
      </c>
      <c r="U59">
        <f>Table1[[#This Row],[StoreCompetitorStoreXRef]]</f>
        <v>57</v>
      </c>
      <c r="V59" t="str">
        <f t="shared" si="2"/>
        <v>29.5605529999999990</v>
      </c>
      <c r="W59" t="str">
        <f t="shared" si="3"/>
        <v>-95.2856610000000050</v>
      </c>
      <c r="X59" t="str">
        <f t="shared" si="4"/>
        <v>29.5730210000000000</v>
      </c>
      <c r="Y59" t="str">
        <f t="shared" si="5"/>
        <v>-95.2878727000000000</v>
      </c>
      <c r="AA59">
        <f t="shared" si="6"/>
        <v>4.7638726574670741E-2</v>
      </c>
      <c r="AC59" s="14" t="str">
        <f t="shared" si="0"/>
        <v>N</v>
      </c>
      <c r="AD59" t="str">
        <f t="shared" si="7"/>
        <v>update x set bearing = 'N' from storecompetitorstorexref x where storecompetitorstorexref = 57</v>
      </c>
    </row>
    <row r="60" spans="1:30" hidden="1" x14ac:dyDescent="0.25">
      <c r="A60">
        <v>59</v>
      </c>
      <c r="B60" t="s">
        <v>112</v>
      </c>
      <c r="C60" t="s">
        <v>116</v>
      </c>
      <c r="D60" t="s">
        <v>114</v>
      </c>
      <c r="E60" t="s">
        <v>117</v>
      </c>
      <c r="F60" s="3">
        <f>GoogleDistance!E59</f>
        <v>0.8</v>
      </c>
      <c r="H60" t="str">
        <f t="shared" si="1"/>
        <v>update x set distance = 0.8 from storecompetitorstorexref x where storecompetitorstorexref = 59</v>
      </c>
      <c r="U60">
        <f>Table1[[#This Row],[StoreCompetitorStoreXRef]]</f>
        <v>59</v>
      </c>
      <c r="V60" t="str">
        <f t="shared" si="2"/>
        <v>29.5605529999999990</v>
      </c>
      <c r="W60" t="str">
        <f t="shared" si="3"/>
        <v>-95.2856610000000050</v>
      </c>
      <c r="X60" t="str">
        <f t="shared" si="4"/>
        <v>29.5688532000000000</v>
      </c>
      <c r="Y60" t="str">
        <f t="shared" si="5"/>
        <v>-95.2888974000000000</v>
      </c>
      <c r="AA60">
        <f t="shared" si="6"/>
        <v>0.10594554420487903</v>
      </c>
      <c r="AC60" s="14" t="str">
        <f t="shared" si="0"/>
        <v>N</v>
      </c>
      <c r="AD60" t="str">
        <f t="shared" si="7"/>
        <v>update x set bearing = 'N' from storecompetitorstorexref x where storecompetitorstorexref = 59</v>
      </c>
    </row>
    <row r="61" spans="1:30" hidden="1" x14ac:dyDescent="0.25">
      <c r="A61">
        <v>378</v>
      </c>
      <c r="B61" t="s">
        <v>118</v>
      </c>
      <c r="C61" t="s">
        <v>113</v>
      </c>
      <c r="D61" t="s">
        <v>119</v>
      </c>
      <c r="E61" t="s">
        <v>115</v>
      </c>
      <c r="F61" s="3">
        <f>GoogleDistance!E60</f>
        <v>9.1999999999999993</v>
      </c>
      <c r="H61" t="str">
        <f t="shared" si="1"/>
        <v>update x set distance = 9.2 from storecompetitorstorexref x where storecompetitorstorexref = 378</v>
      </c>
      <c r="U61">
        <f>Table1[[#This Row],[StoreCompetitorStoreXRef]]</f>
        <v>378</v>
      </c>
      <c r="V61" t="str">
        <f t="shared" si="2"/>
        <v>29.5801847000000000</v>
      </c>
      <c r="W61" t="str">
        <f t="shared" si="3"/>
        <v>-95.3904493000000000</v>
      </c>
      <c r="X61" t="str">
        <f t="shared" si="4"/>
        <v>29.5730210000000000</v>
      </c>
      <c r="Y61" t="str">
        <f t="shared" si="5"/>
        <v>-95.2878727000000000</v>
      </c>
      <c r="AA61">
        <f t="shared" si="6"/>
        <v>-1.7785157425034901</v>
      </c>
      <c r="AC61" s="14" t="str">
        <f t="shared" si="0"/>
        <v>N</v>
      </c>
      <c r="AD61" t="str">
        <f t="shared" si="7"/>
        <v>update x set bearing = 'N' from storecompetitorstorexref x where storecompetitorstorexref = 378</v>
      </c>
    </row>
    <row r="62" spans="1:30" hidden="1" x14ac:dyDescent="0.25">
      <c r="A62">
        <v>63</v>
      </c>
      <c r="B62" t="s">
        <v>118</v>
      </c>
      <c r="C62" t="s">
        <v>21</v>
      </c>
      <c r="D62" t="s">
        <v>119</v>
      </c>
      <c r="E62" t="s">
        <v>120</v>
      </c>
      <c r="F62" s="3">
        <f>GoogleDistance!E61</f>
        <v>0.4</v>
      </c>
      <c r="H62" t="str">
        <f t="shared" si="1"/>
        <v>update x set distance = 0.4 from storecompetitorstorexref x where storecompetitorstorexref = 63</v>
      </c>
      <c r="U62">
        <f>Table1[[#This Row],[StoreCompetitorStoreXRef]]</f>
        <v>63</v>
      </c>
      <c r="V62" t="str">
        <f t="shared" si="2"/>
        <v>29.5801847000000000</v>
      </c>
      <c r="W62" t="str">
        <f t="shared" si="3"/>
        <v>-95.3904493000000000</v>
      </c>
      <c r="X62" t="str">
        <f t="shared" si="4"/>
        <v>29.5831166000000000</v>
      </c>
      <c r="Y62" t="str">
        <f t="shared" si="5"/>
        <v>-95.3920476000000000</v>
      </c>
      <c r="AA62">
        <f t="shared" si="6"/>
        <v>0.1402633985138767</v>
      </c>
      <c r="AC62" s="14" t="str">
        <f t="shared" si="0"/>
        <v>N</v>
      </c>
      <c r="AD62" t="str">
        <f t="shared" si="7"/>
        <v>update x set bearing = 'N' from storecompetitorstorexref x where storecompetitorstorexref = 63</v>
      </c>
    </row>
    <row r="63" spans="1:30" hidden="1" x14ac:dyDescent="0.25">
      <c r="A63">
        <v>132</v>
      </c>
      <c r="B63" t="s">
        <v>118</v>
      </c>
      <c r="C63" t="s">
        <v>17</v>
      </c>
      <c r="D63" t="s">
        <v>119</v>
      </c>
      <c r="E63" t="s">
        <v>121</v>
      </c>
      <c r="F63" s="3">
        <f>GoogleDistance!E62</f>
        <v>1.9</v>
      </c>
      <c r="H63" t="str">
        <f t="shared" si="1"/>
        <v>update x set distance = 1.9 from storecompetitorstorexref x where storecompetitorstorexref = 132</v>
      </c>
      <c r="U63">
        <f>Table1[[#This Row],[StoreCompetitorStoreXRef]]</f>
        <v>132</v>
      </c>
      <c r="V63" t="str">
        <f t="shared" si="2"/>
        <v>29.5801847000000000</v>
      </c>
      <c r="W63" t="str">
        <f t="shared" si="3"/>
        <v>-95.3904493000000000</v>
      </c>
      <c r="X63" t="str">
        <f t="shared" si="4"/>
        <v>29.5591682000000000</v>
      </c>
      <c r="Y63" t="str">
        <f t="shared" si="5"/>
        <v>-95.3926956000000000</v>
      </c>
      <c r="AA63">
        <f t="shared" si="6"/>
        <v>3.1114490825191621</v>
      </c>
      <c r="AC63" s="14" t="str">
        <f t="shared" si="0"/>
        <v>N</v>
      </c>
      <c r="AD63" t="str">
        <f t="shared" si="7"/>
        <v>update x set bearing = 'N' from storecompetitorstorexref x where storecompetitorstorexref = 132</v>
      </c>
    </row>
    <row r="64" spans="1:30" hidden="1" x14ac:dyDescent="0.25">
      <c r="A64">
        <v>68</v>
      </c>
      <c r="B64" t="s">
        <v>122</v>
      </c>
      <c r="C64" t="s">
        <v>52</v>
      </c>
      <c r="D64" t="s">
        <v>123</v>
      </c>
      <c r="E64" t="s">
        <v>54</v>
      </c>
      <c r="F64" s="3">
        <f>GoogleDistance!E63</f>
        <v>1.2</v>
      </c>
      <c r="H64" t="str">
        <f t="shared" si="1"/>
        <v>update x set distance = 1.2 from storecompetitorstorexref x where storecompetitorstorexref = 68</v>
      </c>
      <c r="U64">
        <f>Table1[[#This Row],[StoreCompetitorStoreXRef]]</f>
        <v>68</v>
      </c>
      <c r="V64" t="str">
        <f t="shared" si="2"/>
        <v>29.1718456000000010</v>
      </c>
      <c r="W64" t="str">
        <f t="shared" si="3"/>
        <v>-95.4334417000000030</v>
      </c>
      <c r="X64" t="str">
        <f t="shared" si="4"/>
        <v>29.1830403000000000</v>
      </c>
      <c r="Y64" t="str">
        <f t="shared" si="5"/>
        <v>-95.4359475000000000</v>
      </c>
      <c r="AA64">
        <f t="shared" si="6"/>
        <v>0.13673378229884953</v>
      </c>
      <c r="AC64" s="14" t="str">
        <f t="shared" si="0"/>
        <v>N</v>
      </c>
      <c r="AD64" t="str">
        <f t="shared" si="7"/>
        <v>update x set bearing = 'N' from storecompetitorstorexref x where storecompetitorstorexref = 68</v>
      </c>
    </row>
    <row r="65" spans="1:30" hidden="1" x14ac:dyDescent="0.25">
      <c r="A65">
        <v>161</v>
      </c>
      <c r="B65" t="s">
        <v>122</v>
      </c>
      <c r="C65" t="s">
        <v>57</v>
      </c>
      <c r="D65" t="s">
        <v>123</v>
      </c>
      <c r="E65" t="s">
        <v>58</v>
      </c>
      <c r="F65" s="3">
        <f>GoogleDistance!E64</f>
        <v>1</v>
      </c>
      <c r="H65" t="str">
        <f t="shared" si="1"/>
        <v>update x set distance = 1 from storecompetitorstorexref x where storecompetitorstorexref = 161</v>
      </c>
      <c r="U65">
        <f>Table1[[#This Row],[StoreCompetitorStoreXRef]]</f>
        <v>161</v>
      </c>
      <c r="V65" t="str">
        <f t="shared" si="2"/>
        <v>29.1718456000000010</v>
      </c>
      <c r="W65" t="str">
        <f t="shared" si="3"/>
        <v>-95.4334417000000030</v>
      </c>
      <c r="X65" t="str">
        <f t="shared" si="4"/>
        <v>29.1832904000000000</v>
      </c>
      <c r="Y65" t="str">
        <f t="shared" si="5"/>
        <v>-95.4322897000000000</v>
      </c>
      <c r="AA65">
        <f t="shared" si="6"/>
        <v>-6.178162516711324E-2</v>
      </c>
      <c r="AC65" s="14" t="str">
        <f t="shared" si="0"/>
        <v>N</v>
      </c>
      <c r="AD65" t="str">
        <f t="shared" si="7"/>
        <v>update x set bearing = 'N' from storecompetitorstorexref x where storecompetitorstorexref = 161</v>
      </c>
    </row>
    <row r="66" spans="1:30" hidden="1" x14ac:dyDescent="0.25">
      <c r="A66">
        <v>134</v>
      </c>
      <c r="B66" t="s">
        <v>124</v>
      </c>
      <c r="C66" t="s">
        <v>21</v>
      </c>
      <c r="D66" t="s">
        <v>125</v>
      </c>
      <c r="E66" t="s">
        <v>126</v>
      </c>
      <c r="F66" s="3">
        <f>GoogleDistance!E65</f>
        <v>3.6</v>
      </c>
      <c r="H66" t="str">
        <f t="shared" si="1"/>
        <v>update x set distance = 3.6 from storecompetitorstorexref x where storecompetitorstorexref = 134</v>
      </c>
      <c r="U66">
        <f>Table1[[#This Row],[StoreCompetitorStoreXRef]]</f>
        <v>134</v>
      </c>
      <c r="V66" t="str">
        <f t="shared" si="2"/>
        <v>29.4872064999999990</v>
      </c>
      <c r="W66" t="str">
        <f t="shared" si="3"/>
        <v>-95.1074076000000020</v>
      </c>
      <c r="X66" t="str">
        <f t="shared" si="4"/>
        <v>29.5202273000000000</v>
      </c>
      <c r="Y66" t="str">
        <f t="shared" si="5"/>
        <v>-95.0767266000000000</v>
      </c>
      <c r="AA66">
        <f t="shared" si="6"/>
        <v>-0.2871817899738629</v>
      </c>
      <c r="AC66" s="14" t="str">
        <f t="shared" si="0"/>
        <v>N</v>
      </c>
      <c r="AD66" t="str">
        <f t="shared" si="7"/>
        <v>update x set bearing = 'N' from storecompetitorstorexref x where storecompetitorstorexref = 134</v>
      </c>
    </row>
    <row r="67" spans="1:30" hidden="1" x14ac:dyDescent="0.25">
      <c r="A67">
        <v>206</v>
      </c>
      <c r="B67" t="s">
        <v>124</v>
      </c>
      <c r="C67" t="s">
        <v>40</v>
      </c>
      <c r="D67" t="s">
        <v>125</v>
      </c>
      <c r="E67" t="s">
        <v>127</v>
      </c>
      <c r="F67" s="3">
        <f>GoogleDistance!E66</f>
        <v>2.6</v>
      </c>
      <c r="H67" t="str">
        <f t="shared" si="1"/>
        <v>update x set distance = 2.6 from storecompetitorstorexref x where storecompetitorstorexref = 206</v>
      </c>
      <c r="U67">
        <f>Table1[[#This Row],[StoreCompetitorStoreXRef]]</f>
        <v>206</v>
      </c>
      <c r="V67" t="str">
        <f t="shared" si="2"/>
        <v>29.4872064999999990</v>
      </c>
      <c r="W67" t="str">
        <f t="shared" si="3"/>
        <v>-95.1074076000000020</v>
      </c>
      <c r="X67" t="str">
        <f t="shared" si="4"/>
        <v>29.4874673000000000</v>
      </c>
      <c r="Y67" t="str">
        <f t="shared" si="5"/>
        <v>-95.1047292000000000</v>
      </c>
      <c r="AA67">
        <f t="shared" si="6"/>
        <v>-1.2983526314094018</v>
      </c>
      <c r="AC67" s="14" t="str">
        <f t="shared" ref="AC67:AC130" si="8">GetBearing(AA67, PRECISION)</f>
        <v>N</v>
      </c>
      <c r="AD67" t="str">
        <f t="shared" si="7"/>
        <v>update x set bearing = 'N' from storecompetitorstorexref x where storecompetitorstorexref = 206</v>
      </c>
    </row>
    <row r="68" spans="1:30" hidden="1" x14ac:dyDescent="0.25">
      <c r="A68">
        <v>281</v>
      </c>
      <c r="B68" t="s">
        <v>124</v>
      </c>
      <c r="C68" t="s">
        <v>128</v>
      </c>
      <c r="D68" t="s">
        <v>125</v>
      </c>
      <c r="E68" t="s">
        <v>129</v>
      </c>
      <c r="F68" s="3">
        <f>GoogleDistance!E67</f>
        <v>2.5</v>
      </c>
      <c r="H68" t="str">
        <f t="shared" ref="H68:H131" si="9">"update x set distance = " &amp; F68 &amp; " from storecompetitorstorexref x where storecompetitorstorexref = " &amp; A68</f>
        <v>update x set distance = 2.5 from storecompetitorstorexref x where storecompetitorstorexref = 281</v>
      </c>
      <c r="U68">
        <f>Table1[[#This Row],[StoreCompetitorStoreXRef]]</f>
        <v>281</v>
      </c>
      <c r="V68" t="str">
        <f t="shared" ref="V68:V131" si="10">SUBSTITUTE(LEFT(D68, FIND(",", D68)), ",", "")</f>
        <v>29.4872064999999990</v>
      </c>
      <c r="W68" t="str">
        <f t="shared" ref="W68:W131" si="11">SUBSTITUTE(D68,V68 &amp; ",","")</f>
        <v>-95.1074076000000020</v>
      </c>
      <c r="X68" t="str">
        <f t="shared" ref="X68:X131" si="12">SUBSTITUTE(LEFT(E68, FIND(",", E68)), ",", "")</f>
        <v>29.4683853000000000</v>
      </c>
      <c r="Y68" t="str">
        <f t="shared" ref="Y68:Y131" si="13">SUBSTITUTE(E68,X68 &amp; ",","")</f>
        <v>-95.0899636000000000</v>
      </c>
      <c r="AA68">
        <f t="shared" ref="AA68:AA131" si="14">ATAN2(COS(V68)*SIN(X68)-SIN(V68)*COS(X68)*COS(Y68-W68),SIN(Y68-W68)*COS(X68))</f>
        <v>-2.812124266409691</v>
      </c>
      <c r="AC68" s="14" t="str">
        <f t="shared" si="8"/>
        <v>N</v>
      </c>
      <c r="AD68" t="str">
        <f t="shared" ref="AD68:AD131" si="15">"update x set bearing = '" &amp; AC68 &amp; "' from storecompetitorstorexref x where storecompetitorstorexref = " &amp; U68</f>
        <v>update x set bearing = 'N' from storecompetitorstorexref x where storecompetitorstorexref = 281</v>
      </c>
    </row>
    <row r="69" spans="1:30" hidden="1" x14ac:dyDescent="0.25">
      <c r="A69">
        <v>293</v>
      </c>
      <c r="B69" t="s">
        <v>124</v>
      </c>
      <c r="C69" t="s">
        <v>17</v>
      </c>
      <c r="D69" t="s">
        <v>125</v>
      </c>
      <c r="E69" t="s">
        <v>130</v>
      </c>
      <c r="F69" s="3">
        <f>GoogleDistance!E68</f>
        <v>2.2000000000000002</v>
      </c>
      <c r="H69" t="str">
        <f t="shared" si="9"/>
        <v>update x set distance = 2.2 from storecompetitorstorexref x where storecompetitorstorexref = 293</v>
      </c>
      <c r="U69">
        <f>Table1[[#This Row],[StoreCompetitorStoreXRef]]</f>
        <v>293</v>
      </c>
      <c r="V69" t="str">
        <f t="shared" si="10"/>
        <v>29.4872064999999990</v>
      </c>
      <c r="W69" t="str">
        <f t="shared" si="11"/>
        <v>-95.1074076000000020</v>
      </c>
      <c r="X69" t="str">
        <f t="shared" si="12"/>
        <v>29.4624281000000000</v>
      </c>
      <c r="Y69" t="str">
        <f t="shared" si="13"/>
        <v>-95.0956455000000000</v>
      </c>
      <c r="AA69">
        <f t="shared" si="14"/>
        <v>-2.9659700867758114</v>
      </c>
      <c r="AC69" s="14" t="str">
        <f t="shared" si="8"/>
        <v>N</v>
      </c>
      <c r="AD69" t="str">
        <f t="shared" si="15"/>
        <v>update x set bearing = 'N' from storecompetitorstorexref x where storecompetitorstorexref = 293</v>
      </c>
    </row>
    <row r="70" spans="1:30" hidden="1" x14ac:dyDescent="0.25">
      <c r="A70">
        <v>113</v>
      </c>
      <c r="B70" t="s">
        <v>131</v>
      </c>
      <c r="C70" t="s">
        <v>132</v>
      </c>
      <c r="D70" t="s">
        <v>133</v>
      </c>
      <c r="E70" t="s">
        <v>134</v>
      </c>
      <c r="F70" s="3">
        <f>GoogleDistance!E69</f>
        <v>1.3</v>
      </c>
      <c r="H70" t="str">
        <f t="shared" si="9"/>
        <v>update x set distance = 1.3 from storecompetitorstorexref x where storecompetitorstorexref = 113</v>
      </c>
      <c r="U70">
        <f>Table1[[#This Row],[StoreCompetitorStoreXRef]]</f>
        <v>113</v>
      </c>
      <c r="V70" t="str">
        <f t="shared" si="10"/>
        <v>29.5862109000000010</v>
      </c>
      <c r="W70" t="str">
        <f t="shared" si="11"/>
        <v>-96.3316583000000010</v>
      </c>
      <c r="X70" t="str">
        <f t="shared" si="12"/>
        <v>29.5857656000000000</v>
      </c>
      <c r="Y70" t="str">
        <f t="shared" si="13"/>
        <v>-96.3505999000000000</v>
      </c>
      <c r="AA70">
        <f t="shared" si="14"/>
        <v>1.6531253058572366</v>
      </c>
      <c r="AC70" s="14" t="str">
        <f t="shared" si="8"/>
        <v>N</v>
      </c>
      <c r="AD70" t="str">
        <f t="shared" si="15"/>
        <v>update x set bearing = 'N' from storecompetitorstorexref x where storecompetitorstorexref = 113</v>
      </c>
    </row>
    <row r="71" spans="1:30" hidden="1" x14ac:dyDescent="0.25">
      <c r="A71">
        <v>114</v>
      </c>
      <c r="B71" t="s">
        <v>131</v>
      </c>
      <c r="C71" t="s">
        <v>135</v>
      </c>
      <c r="D71" t="s">
        <v>133</v>
      </c>
      <c r="E71" t="s">
        <v>136</v>
      </c>
      <c r="F71" s="3">
        <f>GoogleDistance!E70</f>
        <v>0.7</v>
      </c>
      <c r="H71" t="str">
        <f t="shared" si="9"/>
        <v>update x set distance = 0.7 from storecompetitorstorexref x where storecompetitorstorexref = 114</v>
      </c>
      <c r="U71">
        <f>Table1[[#This Row],[StoreCompetitorStoreXRef]]</f>
        <v>114</v>
      </c>
      <c r="V71" t="str">
        <f t="shared" si="10"/>
        <v>29.5862109000000010</v>
      </c>
      <c r="W71" t="str">
        <f t="shared" si="11"/>
        <v>-96.3316583000000010</v>
      </c>
      <c r="X71" t="str">
        <f t="shared" si="12"/>
        <v>29.5792891000000000</v>
      </c>
      <c r="Y71" t="str">
        <f t="shared" si="13"/>
        <v>-96.3231265000000000</v>
      </c>
      <c r="AA71">
        <f t="shared" si="14"/>
        <v>-2.828029233103718</v>
      </c>
      <c r="AC71" s="14" t="str">
        <f t="shared" si="8"/>
        <v>N</v>
      </c>
      <c r="AD71" t="str">
        <f t="shared" si="15"/>
        <v>update x set bearing = 'N' from storecompetitorstorexref x where storecompetitorstorexref = 114</v>
      </c>
    </row>
    <row r="72" spans="1:30" x14ac:dyDescent="0.25">
      <c r="A72">
        <v>162</v>
      </c>
      <c r="B72" t="s">
        <v>131</v>
      </c>
      <c r="C72" t="s">
        <v>137</v>
      </c>
      <c r="D72" t="s">
        <v>133</v>
      </c>
      <c r="E72" t="s">
        <v>138</v>
      </c>
      <c r="F72" s="3">
        <f>GoogleDistance!E71</f>
        <v>19.100000000000001</v>
      </c>
      <c r="H72" t="str">
        <f t="shared" si="9"/>
        <v>update x set distance = 19.1 from storecompetitorstorexref x where storecompetitorstorexref = 162</v>
      </c>
      <c r="U72">
        <f>Table1[[#This Row],[StoreCompetitorStoreXRef]]</f>
        <v>162</v>
      </c>
      <c r="V72" t="str">
        <f t="shared" si="10"/>
        <v>29.5862109000000010</v>
      </c>
      <c r="W72" t="str">
        <f t="shared" si="11"/>
        <v>-96.3316583000000010</v>
      </c>
      <c r="X72" t="str">
        <f t="shared" si="12"/>
        <v>29.7740251000000000</v>
      </c>
      <c r="Y72" t="str">
        <f t="shared" si="13"/>
        <v>-96.1368882000000000</v>
      </c>
      <c r="AA72">
        <f t="shared" si="14"/>
        <v>-7.3005079775303156E-2</v>
      </c>
      <c r="AC72" s="14" t="str">
        <f t="shared" si="8"/>
        <v>N</v>
      </c>
      <c r="AD72" t="str">
        <f t="shared" si="15"/>
        <v>update x set bearing = 'N' from storecompetitorstorexref x where storecompetitorstorexref = 162</v>
      </c>
    </row>
    <row r="73" spans="1:30" hidden="1" x14ac:dyDescent="0.25">
      <c r="A73">
        <v>193</v>
      </c>
      <c r="B73" t="s">
        <v>131</v>
      </c>
      <c r="C73" t="s">
        <v>85</v>
      </c>
      <c r="D73" t="s">
        <v>133</v>
      </c>
      <c r="E73" t="s">
        <v>139</v>
      </c>
      <c r="F73" s="3">
        <f>GoogleDistance!E72</f>
        <v>0.1</v>
      </c>
      <c r="H73" t="str">
        <f t="shared" si="9"/>
        <v>update x set distance = 0.1 from storecompetitorstorexref x where storecompetitorstorexref = 193</v>
      </c>
      <c r="U73">
        <f>Table1[[#This Row],[StoreCompetitorStoreXRef]]</f>
        <v>193</v>
      </c>
      <c r="V73" t="str">
        <f t="shared" si="10"/>
        <v>29.5862109000000010</v>
      </c>
      <c r="W73" t="str">
        <f t="shared" si="11"/>
        <v>-96.3316583000000010</v>
      </c>
      <c r="X73" t="str">
        <f t="shared" si="12"/>
        <v>29.5856444000000000</v>
      </c>
      <c r="Y73" t="str">
        <f t="shared" si="13"/>
        <v>-96.3313415000000000</v>
      </c>
      <c r="AA73">
        <f t="shared" si="14"/>
        <v>-2.9990747772579294</v>
      </c>
      <c r="AC73" s="14" t="str">
        <f t="shared" si="8"/>
        <v>N</v>
      </c>
      <c r="AD73" t="str">
        <f t="shared" si="15"/>
        <v>update x set bearing = 'N' from storecompetitorstorexref x where storecompetitorstorexref = 193</v>
      </c>
    </row>
    <row r="74" spans="1:30" hidden="1" x14ac:dyDescent="0.25">
      <c r="A74">
        <v>292</v>
      </c>
      <c r="B74" t="s">
        <v>131</v>
      </c>
      <c r="C74" t="s">
        <v>140</v>
      </c>
      <c r="D74" t="s">
        <v>133</v>
      </c>
      <c r="E74" t="s">
        <v>141</v>
      </c>
      <c r="F74" s="3">
        <f>GoogleDistance!E73</f>
        <v>0.2</v>
      </c>
      <c r="H74" t="str">
        <f t="shared" si="9"/>
        <v>update x set distance = 0.2 from storecompetitorstorexref x where storecompetitorstorexref = 292</v>
      </c>
      <c r="U74">
        <f>Table1[[#This Row],[StoreCompetitorStoreXRef]]</f>
        <v>292</v>
      </c>
      <c r="V74" t="str">
        <f t="shared" si="10"/>
        <v>29.5862109000000010</v>
      </c>
      <c r="W74" t="str">
        <f t="shared" si="11"/>
        <v>-96.3316583000000010</v>
      </c>
      <c r="X74" t="str">
        <f t="shared" si="12"/>
        <v>29.5858699000000000</v>
      </c>
      <c r="Y74" t="str">
        <f t="shared" si="13"/>
        <v>-96.3340607000000000</v>
      </c>
      <c r="AA74">
        <f t="shared" si="14"/>
        <v>2.0755623398295491</v>
      </c>
      <c r="AC74" s="14" t="str">
        <f t="shared" si="8"/>
        <v>N</v>
      </c>
      <c r="AD74" t="str">
        <f t="shared" si="15"/>
        <v>update x set bearing = 'N' from storecompetitorstorexref x where storecompetitorstorexref = 292</v>
      </c>
    </row>
    <row r="75" spans="1:30" x14ac:dyDescent="0.25">
      <c r="A75">
        <v>345</v>
      </c>
      <c r="B75" t="s">
        <v>131</v>
      </c>
      <c r="C75" t="s">
        <v>144</v>
      </c>
      <c r="D75" t="s">
        <v>133</v>
      </c>
      <c r="E75" t="s">
        <v>145</v>
      </c>
      <c r="F75" s="3">
        <f>GoogleDistance!E74</f>
        <v>16.399999999999999</v>
      </c>
      <c r="H75" t="str">
        <f t="shared" si="9"/>
        <v>update x set distance = 16.4 from storecompetitorstorexref x where storecompetitorstorexref = 345</v>
      </c>
      <c r="U75">
        <f>Table1[[#This Row],[StoreCompetitorStoreXRef]]</f>
        <v>345</v>
      </c>
      <c r="V75" t="str">
        <f t="shared" si="10"/>
        <v>29.5862109000000010</v>
      </c>
      <c r="W75" t="str">
        <f t="shared" si="11"/>
        <v>-96.3316583000000010</v>
      </c>
      <c r="X75" t="str">
        <f t="shared" si="12"/>
        <v>29.5307424000000000</v>
      </c>
      <c r="Y75" t="str">
        <f t="shared" si="13"/>
        <v>-96.0706097000000000</v>
      </c>
      <c r="AA75">
        <f t="shared" si="14"/>
        <v>-2.0871595770783249</v>
      </c>
      <c r="AC75" s="14" t="str">
        <f t="shared" si="8"/>
        <v>N</v>
      </c>
      <c r="AD75" t="str">
        <f t="shared" si="15"/>
        <v>update x set bearing = 'N' from storecompetitorstorexref x where storecompetitorstorexref = 345</v>
      </c>
    </row>
    <row r="76" spans="1:30" hidden="1" x14ac:dyDescent="0.25">
      <c r="A76">
        <v>344</v>
      </c>
      <c r="B76" t="s">
        <v>131</v>
      </c>
      <c r="C76" t="s">
        <v>142</v>
      </c>
      <c r="D76" t="s">
        <v>133</v>
      </c>
      <c r="E76" t="s">
        <v>143</v>
      </c>
      <c r="F76" s="3">
        <f>GoogleDistance!E75</f>
        <v>0.7</v>
      </c>
      <c r="H76" t="str">
        <f t="shared" si="9"/>
        <v>update x set distance = 0.7 from storecompetitorstorexref x where storecompetitorstorexref = 344</v>
      </c>
      <c r="U76">
        <f>Table1[[#This Row],[StoreCompetitorStoreXRef]]</f>
        <v>344</v>
      </c>
      <c r="V76" t="str">
        <f t="shared" si="10"/>
        <v>29.5862109000000010</v>
      </c>
      <c r="W76" t="str">
        <f t="shared" si="11"/>
        <v>-96.3316583000000010</v>
      </c>
      <c r="X76" t="str">
        <f t="shared" si="12"/>
        <v>29.5792480000000000</v>
      </c>
      <c r="Y76" t="str">
        <f t="shared" si="13"/>
        <v>-96.3230267000000000</v>
      </c>
      <c r="AA76">
        <f t="shared" si="14"/>
        <v>-2.8262987909484005</v>
      </c>
      <c r="AC76" s="14" t="str">
        <f t="shared" si="8"/>
        <v>N</v>
      </c>
      <c r="AD76" t="str">
        <f t="shared" si="15"/>
        <v>update x set bearing = 'N' from storecompetitorstorexref x where storecompetitorstorexref = 344</v>
      </c>
    </row>
    <row r="77" spans="1:30" x14ac:dyDescent="0.25">
      <c r="A77">
        <v>336</v>
      </c>
      <c r="B77" t="s">
        <v>146</v>
      </c>
      <c r="C77" t="s">
        <v>34</v>
      </c>
      <c r="D77" t="s">
        <v>148</v>
      </c>
      <c r="E77" t="s">
        <v>35</v>
      </c>
      <c r="F77" s="3">
        <f>GoogleDistance!E76</f>
        <v>10.5</v>
      </c>
      <c r="H77" t="str">
        <f t="shared" si="9"/>
        <v>update x set distance = 10.5 from storecompetitorstorexref x where storecompetitorstorexref = 336</v>
      </c>
      <c r="U77">
        <f>Table1[[#This Row],[StoreCompetitorStoreXRef]]</f>
        <v>336</v>
      </c>
      <c r="V77" t="str">
        <f t="shared" si="10"/>
        <v>29.1638710000000000</v>
      </c>
      <c r="W77" t="str">
        <f t="shared" si="11"/>
        <v>-95.4548620000000060</v>
      </c>
      <c r="X77" t="str">
        <f t="shared" si="12"/>
        <v>29.0212499999999980</v>
      </c>
      <c r="Y77" t="str">
        <f t="shared" si="13"/>
        <v>-95.4368589999999980</v>
      </c>
      <c r="AA77">
        <f t="shared" si="14"/>
        <v>-3.0488634406535375</v>
      </c>
      <c r="AC77" s="14" t="str">
        <f t="shared" si="8"/>
        <v>N</v>
      </c>
      <c r="AD77" t="str">
        <f t="shared" si="15"/>
        <v>update x set bearing = 'N' from storecompetitorstorexref x where storecompetitorstorexref = 336</v>
      </c>
    </row>
    <row r="78" spans="1:30" hidden="1" x14ac:dyDescent="0.25">
      <c r="A78">
        <v>135</v>
      </c>
      <c r="B78" t="s">
        <v>146</v>
      </c>
      <c r="C78" t="s">
        <v>15</v>
      </c>
      <c r="D78" t="s">
        <v>148</v>
      </c>
      <c r="E78" t="s">
        <v>16</v>
      </c>
      <c r="F78" s="3">
        <f>GoogleDistance!E77</f>
        <v>8.6</v>
      </c>
      <c r="H78" t="str">
        <f t="shared" si="9"/>
        <v>update x set distance = 8.6 from storecompetitorstorexref x where storecompetitorstorexref = 135</v>
      </c>
      <c r="U78">
        <f>Table1[[#This Row],[StoreCompetitorStoreXRef]]</f>
        <v>135</v>
      </c>
      <c r="V78" t="str">
        <f t="shared" si="10"/>
        <v>29.1638710000000000</v>
      </c>
      <c r="W78" t="str">
        <f t="shared" si="11"/>
        <v>-95.4548620000000060</v>
      </c>
      <c r="X78" t="str">
        <f t="shared" si="12"/>
        <v>29.0454575000000000</v>
      </c>
      <c r="Y78" t="str">
        <f t="shared" si="13"/>
        <v>-95.4613030000000000</v>
      </c>
      <c r="AA78">
        <f t="shared" si="14"/>
        <v>3.1025101425435841</v>
      </c>
      <c r="AC78" s="14" t="str">
        <f t="shared" si="8"/>
        <v>N</v>
      </c>
      <c r="AD78" t="str">
        <f t="shared" si="15"/>
        <v>update x set bearing = 'N' from storecompetitorstorexref x where storecompetitorstorexref = 135</v>
      </c>
    </row>
    <row r="79" spans="1:30" hidden="1" x14ac:dyDescent="0.25">
      <c r="A79">
        <v>75</v>
      </c>
      <c r="B79" t="s">
        <v>146</v>
      </c>
      <c r="C79" t="s">
        <v>52</v>
      </c>
      <c r="D79" t="s">
        <v>148</v>
      </c>
      <c r="E79" t="s">
        <v>54</v>
      </c>
      <c r="F79" s="3">
        <f>GoogleDistance!E78</f>
        <v>2.8</v>
      </c>
      <c r="H79" t="str">
        <f t="shared" si="9"/>
        <v>update x set distance = 2.8 from storecompetitorstorexref x where storecompetitorstorexref = 75</v>
      </c>
      <c r="U79">
        <f>Table1[[#This Row],[StoreCompetitorStoreXRef]]</f>
        <v>75</v>
      </c>
      <c r="V79" t="str">
        <f t="shared" si="10"/>
        <v>29.1638710000000000</v>
      </c>
      <c r="W79" t="str">
        <f t="shared" si="11"/>
        <v>-95.4548620000000060</v>
      </c>
      <c r="X79" t="str">
        <f t="shared" si="12"/>
        <v>29.1830403000000000</v>
      </c>
      <c r="Y79" t="str">
        <f t="shared" si="13"/>
        <v>-95.4359475000000000</v>
      </c>
      <c r="AA79">
        <f t="shared" si="14"/>
        <v>-0.54328572159122979</v>
      </c>
      <c r="AC79" s="14" t="str">
        <f t="shared" si="8"/>
        <v>N</v>
      </c>
      <c r="AD79" t="str">
        <f t="shared" si="15"/>
        <v>update x set bearing = 'N' from storecompetitorstorexref x where storecompetitorstorexref = 75</v>
      </c>
    </row>
    <row r="80" spans="1:30" hidden="1" x14ac:dyDescent="0.25">
      <c r="A80">
        <v>73</v>
      </c>
      <c r="B80" t="s">
        <v>146</v>
      </c>
      <c r="C80" t="s">
        <v>147</v>
      </c>
      <c r="D80" t="s">
        <v>148</v>
      </c>
      <c r="E80" t="s">
        <v>149</v>
      </c>
      <c r="F80" s="3">
        <f>GoogleDistance!E79</f>
        <v>0.1</v>
      </c>
      <c r="H80" t="str">
        <f t="shared" si="9"/>
        <v>update x set distance = 0.1 from storecompetitorstorexref x where storecompetitorstorexref = 73</v>
      </c>
      <c r="U80">
        <f>Table1[[#This Row],[StoreCompetitorStoreXRef]]</f>
        <v>73</v>
      </c>
      <c r="V80" t="str">
        <f t="shared" si="10"/>
        <v>29.1638710000000000</v>
      </c>
      <c r="W80" t="str">
        <f t="shared" si="11"/>
        <v>-95.4548620000000060</v>
      </c>
      <c r="X80" t="str">
        <f t="shared" si="12"/>
        <v>29.1633786000000000</v>
      </c>
      <c r="Y80" t="str">
        <f t="shared" si="13"/>
        <v>-95.4560165000000000</v>
      </c>
      <c r="AA80">
        <f t="shared" si="14"/>
        <v>2.1654922297225001</v>
      </c>
      <c r="AC80" s="14" t="str">
        <f t="shared" si="8"/>
        <v>N</v>
      </c>
      <c r="AD80" t="str">
        <f t="shared" si="15"/>
        <v>update x set bearing = 'N' from storecompetitorstorexref x where storecompetitorstorexref = 73</v>
      </c>
    </row>
    <row r="81" spans="1:30" hidden="1" x14ac:dyDescent="0.25">
      <c r="A81">
        <v>352</v>
      </c>
      <c r="B81" t="s">
        <v>146</v>
      </c>
      <c r="C81" t="s">
        <v>17</v>
      </c>
      <c r="D81" t="s">
        <v>148</v>
      </c>
      <c r="E81" t="s">
        <v>18</v>
      </c>
      <c r="F81" s="3">
        <f>GoogleDistance!E80</f>
        <v>9.6</v>
      </c>
      <c r="H81" t="str">
        <f t="shared" si="9"/>
        <v>update x set distance = 9.6 from storecompetitorstorexref x where storecompetitorstorexref = 352</v>
      </c>
      <c r="U81">
        <f>Table1[[#This Row],[StoreCompetitorStoreXRef]]</f>
        <v>352</v>
      </c>
      <c r="V81" t="str">
        <f t="shared" si="10"/>
        <v>29.1638710000000000</v>
      </c>
      <c r="W81" t="str">
        <f t="shared" si="11"/>
        <v>-95.4548620000000060</v>
      </c>
      <c r="X81" t="str">
        <f t="shared" si="12"/>
        <v>29.0434622000000000</v>
      </c>
      <c r="Y81" t="str">
        <f t="shared" si="13"/>
        <v>-95.4469269000000000</v>
      </c>
      <c r="AA81">
        <f t="shared" si="14"/>
        <v>-3.094155969069956</v>
      </c>
      <c r="AC81" s="14" t="str">
        <f t="shared" si="8"/>
        <v>N</v>
      </c>
      <c r="AD81" t="str">
        <f t="shared" si="15"/>
        <v>update x set bearing = 'N' from storecompetitorstorexref x where storecompetitorstorexref = 352</v>
      </c>
    </row>
    <row r="82" spans="1:30" hidden="1" x14ac:dyDescent="0.25">
      <c r="A82">
        <v>79</v>
      </c>
      <c r="B82" t="s">
        <v>150</v>
      </c>
      <c r="C82" t="s">
        <v>151</v>
      </c>
      <c r="D82" t="s">
        <v>152</v>
      </c>
      <c r="E82" t="s">
        <v>153</v>
      </c>
      <c r="F82" s="3">
        <f>GoogleDistance!E81</f>
        <v>0.7</v>
      </c>
      <c r="H82" t="str">
        <f t="shared" si="9"/>
        <v>update x set distance = 0.7 from storecompetitorstorexref x where storecompetitorstorexref = 79</v>
      </c>
      <c r="U82">
        <f>Table1[[#This Row],[StoreCompetitorStoreXRef]]</f>
        <v>79</v>
      </c>
      <c r="V82" t="str">
        <f t="shared" si="10"/>
        <v>30.9721459999999990</v>
      </c>
      <c r="W82" t="str">
        <f t="shared" si="11"/>
        <v>-95.8894169999999950</v>
      </c>
      <c r="X82" t="str">
        <f t="shared" si="12"/>
        <v>30.9645522000000000</v>
      </c>
      <c r="Y82" t="str">
        <f t="shared" si="13"/>
        <v>-95.8864096000000000</v>
      </c>
      <c r="AA82">
        <f t="shared" si="14"/>
        <v>2.799324282871674</v>
      </c>
      <c r="AC82" s="14" t="str">
        <f t="shared" si="8"/>
        <v>N</v>
      </c>
      <c r="AD82" t="str">
        <f t="shared" si="15"/>
        <v>update x set bearing = 'N' from storecompetitorstorexref x where storecompetitorstorexref = 79</v>
      </c>
    </row>
    <row r="83" spans="1:30" hidden="1" x14ac:dyDescent="0.25">
      <c r="A83">
        <v>355</v>
      </c>
      <c r="B83" t="s">
        <v>150</v>
      </c>
      <c r="C83" t="s">
        <v>156</v>
      </c>
      <c r="D83" t="s">
        <v>152</v>
      </c>
      <c r="E83" t="s">
        <v>157</v>
      </c>
      <c r="F83" s="3">
        <f>GoogleDistance!E82</f>
        <v>0.8</v>
      </c>
      <c r="H83" t="str">
        <f t="shared" si="9"/>
        <v>update x set distance = 0.8 from storecompetitorstorexref x where storecompetitorstorexref = 355</v>
      </c>
      <c r="U83">
        <f>Table1[[#This Row],[StoreCompetitorStoreXRef]]</f>
        <v>355</v>
      </c>
      <c r="V83" t="str">
        <f t="shared" si="10"/>
        <v>30.9721459999999990</v>
      </c>
      <c r="W83" t="str">
        <f t="shared" si="11"/>
        <v>-95.8894169999999950</v>
      </c>
      <c r="X83" t="str">
        <f t="shared" si="12"/>
        <v>30.9643750000000000</v>
      </c>
      <c r="Y83" t="str">
        <f t="shared" si="13"/>
        <v>-95.8866853000000000</v>
      </c>
      <c r="AA83">
        <f t="shared" si="14"/>
        <v>2.835307710306</v>
      </c>
      <c r="AC83" s="14" t="str">
        <f t="shared" si="8"/>
        <v>N</v>
      </c>
      <c r="AD83" t="str">
        <f t="shared" si="15"/>
        <v>update x set bearing = 'N' from storecompetitorstorexref x where storecompetitorstorexref = 355</v>
      </c>
    </row>
    <row r="84" spans="1:30" hidden="1" x14ac:dyDescent="0.25">
      <c r="A84">
        <v>81</v>
      </c>
      <c r="B84" t="s">
        <v>150</v>
      </c>
      <c r="C84" t="s">
        <v>154</v>
      </c>
      <c r="D84" t="s">
        <v>152</v>
      </c>
      <c r="E84" t="s">
        <v>155</v>
      </c>
      <c r="F84" s="3">
        <f>GoogleDistance!E83</f>
        <v>0.7</v>
      </c>
      <c r="H84" t="str">
        <f t="shared" si="9"/>
        <v>update x set distance = 0.7 from storecompetitorstorexref x where storecompetitorstorexref = 81</v>
      </c>
      <c r="U84">
        <f>Table1[[#This Row],[StoreCompetitorStoreXRef]]</f>
        <v>81</v>
      </c>
      <c r="V84" t="str">
        <f t="shared" si="10"/>
        <v>30.9721459999999990</v>
      </c>
      <c r="W84" t="str">
        <f t="shared" si="11"/>
        <v>-95.8894169999999950</v>
      </c>
      <c r="X84" t="str">
        <f t="shared" si="12"/>
        <v>30.9647295000000000</v>
      </c>
      <c r="Y84" t="str">
        <f t="shared" si="13"/>
        <v>-95.8866505000000000</v>
      </c>
      <c r="AA84">
        <f t="shared" si="14"/>
        <v>2.8177803815697944</v>
      </c>
      <c r="AC84" s="14" t="str">
        <f t="shared" si="8"/>
        <v>N</v>
      </c>
      <c r="AD84" t="str">
        <f t="shared" si="15"/>
        <v>update x set bearing = 'N' from storecompetitorstorexref x where storecompetitorstorexref = 81</v>
      </c>
    </row>
    <row r="85" spans="1:30" hidden="1" x14ac:dyDescent="0.25">
      <c r="A85">
        <v>85</v>
      </c>
      <c r="B85" t="s">
        <v>158</v>
      </c>
      <c r="C85" t="s">
        <v>159</v>
      </c>
      <c r="D85" t="s">
        <v>160</v>
      </c>
      <c r="E85" t="s">
        <v>161</v>
      </c>
      <c r="F85" s="3">
        <f>GoogleDistance!E84</f>
        <v>1.4</v>
      </c>
      <c r="H85" t="str">
        <f t="shared" si="9"/>
        <v>update x set distance = 1.4 from storecompetitorstorexref x where storecompetitorstorexref = 85</v>
      </c>
      <c r="U85">
        <f>Table1[[#This Row],[StoreCompetitorStoreXRef]]</f>
        <v>85</v>
      </c>
      <c r="V85" t="str">
        <f t="shared" si="10"/>
        <v>29.2159672999999990</v>
      </c>
      <c r="W85" t="str">
        <f t="shared" si="11"/>
        <v>-96.2855181000000040</v>
      </c>
      <c r="X85" t="str">
        <f t="shared" si="12"/>
        <v>29.2000137000000000</v>
      </c>
      <c r="Y85" t="str">
        <f t="shared" si="13"/>
        <v>-96.2742597000000000</v>
      </c>
      <c r="AA85">
        <f t="shared" si="14"/>
        <v>-2.7395869154160462</v>
      </c>
      <c r="AC85" s="14" t="str">
        <f t="shared" si="8"/>
        <v>N</v>
      </c>
      <c r="AD85" t="str">
        <f t="shared" si="15"/>
        <v>update x set bearing = 'N' from storecompetitorstorexref x where storecompetitorstorexref = 85</v>
      </c>
    </row>
    <row r="86" spans="1:30" hidden="1" x14ac:dyDescent="0.25">
      <c r="A86">
        <v>112</v>
      </c>
      <c r="B86" t="s">
        <v>158</v>
      </c>
      <c r="C86" t="s">
        <v>17</v>
      </c>
      <c r="D86" t="s">
        <v>160</v>
      </c>
      <c r="E86" t="s">
        <v>162</v>
      </c>
      <c r="F86" s="3">
        <f>GoogleDistance!E85</f>
        <v>1.6</v>
      </c>
      <c r="H86" t="str">
        <f t="shared" si="9"/>
        <v>update x set distance = 1.6 from storecompetitorstorexref x where storecompetitorstorexref = 112</v>
      </c>
      <c r="U86">
        <f>Table1[[#This Row],[StoreCompetitorStoreXRef]]</f>
        <v>112</v>
      </c>
      <c r="V86" t="str">
        <f t="shared" si="10"/>
        <v>29.2159672999999990</v>
      </c>
      <c r="W86" t="str">
        <f t="shared" si="11"/>
        <v>-96.2855181000000040</v>
      </c>
      <c r="X86" t="str">
        <f t="shared" si="12"/>
        <v>29.1975690000000000</v>
      </c>
      <c r="Y86" t="str">
        <f t="shared" si="13"/>
        <v>-96.2715557000000000</v>
      </c>
      <c r="AA86">
        <f t="shared" si="14"/>
        <v>-2.7112829074685205</v>
      </c>
      <c r="AC86" s="14" t="str">
        <f t="shared" si="8"/>
        <v>N</v>
      </c>
      <c r="AD86" t="str">
        <f t="shared" si="15"/>
        <v>update x set bearing = 'N' from storecompetitorstorexref x where storecompetitorstorexref = 112</v>
      </c>
    </row>
    <row r="87" spans="1:30" hidden="1" x14ac:dyDescent="0.25">
      <c r="A87">
        <v>331</v>
      </c>
      <c r="B87" t="s">
        <v>158</v>
      </c>
      <c r="C87" t="s">
        <v>163</v>
      </c>
      <c r="D87" t="s">
        <v>160</v>
      </c>
      <c r="E87" t="s">
        <v>164</v>
      </c>
      <c r="F87" s="3">
        <f>GoogleDistance!E86</f>
        <v>1.8</v>
      </c>
      <c r="H87" t="str">
        <f t="shared" si="9"/>
        <v>update x set distance = 1.8 from storecompetitorstorexref x where storecompetitorstorexref = 331</v>
      </c>
      <c r="U87">
        <f>Table1[[#This Row],[StoreCompetitorStoreXRef]]</f>
        <v>331</v>
      </c>
      <c r="V87" t="str">
        <f t="shared" si="10"/>
        <v>29.2159672999999990</v>
      </c>
      <c r="W87" t="str">
        <f t="shared" si="11"/>
        <v>-96.2855181000000040</v>
      </c>
      <c r="X87" t="str">
        <f t="shared" si="12"/>
        <v>29.1983642000000000</v>
      </c>
      <c r="Y87" t="str">
        <f t="shared" si="13"/>
        <v>-96.2925575000000000</v>
      </c>
      <c r="AA87">
        <f t="shared" si="14"/>
        <v>2.9049545983938243</v>
      </c>
      <c r="AC87" s="14" t="str">
        <f t="shared" si="8"/>
        <v>N</v>
      </c>
      <c r="AD87" t="str">
        <f t="shared" si="15"/>
        <v>update x set bearing = 'N' from storecompetitorstorexref x where storecompetitorstorexref = 331</v>
      </c>
    </row>
    <row r="88" spans="1:30" hidden="1" x14ac:dyDescent="0.25">
      <c r="A88">
        <v>346</v>
      </c>
      <c r="B88" t="s">
        <v>158</v>
      </c>
      <c r="C88" t="s">
        <v>165</v>
      </c>
      <c r="D88" t="s">
        <v>160</v>
      </c>
      <c r="E88" t="s">
        <v>166</v>
      </c>
      <c r="F88" s="3">
        <f>GoogleDistance!E87</f>
        <v>3.1</v>
      </c>
      <c r="H88" t="str">
        <f t="shared" si="9"/>
        <v>update x set distance = 3.1 from storecompetitorstorexref x where storecompetitorstorexref = 346</v>
      </c>
      <c r="U88">
        <f>Table1[[#This Row],[StoreCompetitorStoreXRef]]</f>
        <v>346</v>
      </c>
      <c r="V88" t="str">
        <f t="shared" si="10"/>
        <v>29.2159672999999990</v>
      </c>
      <c r="W88" t="str">
        <f t="shared" si="11"/>
        <v>-96.2855181000000040</v>
      </c>
      <c r="X88" t="str">
        <f t="shared" si="12"/>
        <v>29.1792290000000000</v>
      </c>
      <c r="Y88" t="str">
        <f t="shared" si="13"/>
        <v>-96.2624672000000000</v>
      </c>
      <c r="AA88">
        <f t="shared" si="14"/>
        <v>-2.7705459594158257</v>
      </c>
      <c r="AC88" s="14" t="str">
        <f t="shared" si="8"/>
        <v>N</v>
      </c>
      <c r="AD88" t="str">
        <f t="shared" si="15"/>
        <v>update x set bearing = 'N' from storecompetitorstorexref x where storecompetitorstorexref = 346</v>
      </c>
    </row>
    <row r="89" spans="1:30" hidden="1" x14ac:dyDescent="0.25">
      <c r="A89">
        <v>357</v>
      </c>
      <c r="B89" t="s">
        <v>158</v>
      </c>
      <c r="C89" t="s">
        <v>167</v>
      </c>
      <c r="D89" t="s">
        <v>160</v>
      </c>
      <c r="E89" t="s">
        <v>168</v>
      </c>
      <c r="F89" s="3">
        <f>GoogleDistance!E88</f>
        <v>3.6</v>
      </c>
      <c r="H89" t="str">
        <f t="shared" si="9"/>
        <v>update x set distance = 3.6 from storecompetitorstorexref x where storecompetitorstorexref = 357</v>
      </c>
      <c r="U89">
        <f>Table1[[#This Row],[StoreCompetitorStoreXRef]]</f>
        <v>357</v>
      </c>
      <c r="V89" t="str">
        <f t="shared" si="10"/>
        <v>29.2159672999999990</v>
      </c>
      <c r="W89" t="str">
        <f t="shared" si="11"/>
        <v>-96.2855181000000040</v>
      </c>
      <c r="X89" t="str">
        <f t="shared" si="12"/>
        <v>29.1790329000000000</v>
      </c>
      <c r="Y89" t="str">
        <f t="shared" si="13"/>
        <v>-96.2602766000000000</v>
      </c>
      <c r="AA89">
        <f t="shared" si="14"/>
        <v>-2.7404198978912362</v>
      </c>
      <c r="AC89" s="14" t="str">
        <f t="shared" si="8"/>
        <v>N</v>
      </c>
      <c r="AD89" t="str">
        <f t="shared" si="15"/>
        <v>update x set bearing = 'N' from storecompetitorstorexref x where storecompetitorstorexref = 357</v>
      </c>
    </row>
    <row r="90" spans="1:30" hidden="1" x14ac:dyDescent="0.25">
      <c r="A90">
        <v>137</v>
      </c>
      <c r="B90" t="s">
        <v>34</v>
      </c>
      <c r="C90" t="s">
        <v>15</v>
      </c>
      <c r="D90" t="s">
        <v>35</v>
      </c>
      <c r="E90" t="s">
        <v>16</v>
      </c>
      <c r="F90" s="3">
        <f>GoogleDistance!E89</f>
        <v>3</v>
      </c>
      <c r="H90" t="str">
        <f t="shared" si="9"/>
        <v>update x set distance = 3 from storecompetitorstorexref x where storecompetitorstorexref = 137</v>
      </c>
      <c r="U90">
        <f>Table1[[#This Row],[StoreCompetitorStoreXRef]]</f>
        <v>137</v>
      </c>
      <c r="V90" t="str">
        <f t="shared" si="10"/>
        <v>29.0212499999999980</v>
      </c>
      <c r="W90" t="str">
        <f t="shared" si="11"/>
        <v>-95.4368589999999980</v>
      </c>
      <c r="X90" t="str">
        <f t="shared" si="12"/>
        <v>29.0454575000000000</v>
      </c>
      <c r="Y90" t="str">
        <f t="shared" si="13"/>
        <v>-95.4613030000000000</v>
      </c>
      <c r="AA90">
        <f t="shared" si="14"/>
        <v>0.62389431870038359</v>
      </c>
      <c r="AC90" s="14" t="str">
        <f t="shared" si="8"/>
        <v>N</v>
      </c>
      <c r="AD90" t="str">
        <f t="shared" si="15"/>
        <v>update x set bearing = 'N' from storecompetitorstorexref x where storecompetitorstorexref = 137</v>
      </c>
    </row>
    <row r="91" spans="1:30" hidden="1" x14ac:dyDescent="0.25">
      <c r="A91">
        <v>158</v>
      </c>
      <c r="B91" t="s">
        <v>34</v>
      </c>
      <c r="C91" t="s">
        <v>25</v>
      </c>
      <c r="D91" t="s">
        <v>35</v>
      </c>
      <c r="E91" t="s">
        <v>26</v>
      </c>
      <c r="F91" s="3">
        <f>GoogleDistance!E90</f>
        <v>3.2</v>
      </c>
      <c r="H91" t="str">
        <f t="shared" si="9"/>
        <v>update x set distance = 3.2 from storecompetitorstorexref x where storecompetitorstorexref = 158</v>
      </c>
      <c r="U91">
        <f>Table1[[#This Row],[StoreCompetitorStoreXRef]]</f>
        <v>158</v>
      </c>
      <c r="V91" t="str">
        <f t="shared" si="10"/>
        <v>29.0212499999999980</v>
      </c>
      <c r="W91" t="str">
        <f t="shared" si="11"/>
        <v>-95.4368589999999980</v>
      </c>
      <c r="X91" t="str">
        <f t="shared" si="12"/>
        <v>29.0481102000000000</v>
      </c>
      <c r="Y91" t="str">
        <f t="shared" si="13"/>
        <v>-95.4652421000000000</v>
      </c>
      <c r="AA91">
        <f t="shared" si="14"/>
        <v>0.64372637435732594</v>
      </c>
      <c r="AC91" s="14" t="str">
        <f t="shared" si="8"/>
        <v>N</v>
      </c>
      <c r="AD91" t="str">
        <f t="shared" si="15"/>
        <v>update x set bearing = 'N' from storecompetitorstorexref x where storecompetitorstorexref = 158</v>
      </c>
    </row>
    <row r="92" spans="1:30" hidden="1" x14ac:dyDescent="0.25">
      <c r="A92">
        <v>323</v>
      </c>
      <c r="B92" t="s">
        <v>34</v>
      </c>
      <c r="C92" t="s">
        <v>17</v>
      </c>
      <c r="D92" t="s">
        <v>35</v>
      </c>
      <c r="E92" t="s">
        <v>18</v>
      </c>
      <c r="F92" s="3">
        <f>GoogleDistance!E91</f>
        <v>2.1</v>
      </c>
      <c r="H92" t="str">
        <f t="shared" si="9"/>
        <v>update x set distance = 2.1 from storecompetitorstorexref x where storecompetitorstorexref = 323</v>
      </c>
      <c r="U92">
        <f>Table1[[#This Row],[StoreCompetitorStoreXRef]]</f>
        <v>323</v>
      </c>
      <c r="V92" t="str">
        <f t="shared" si="10"/>
        <v>29.0212499999999980</v>
      </c>
      <c r="W92" t="str">
        <f t="shared" si="11"/>
        <v>-95.4368589999999980</v>
      </c>
      <c r="X92" t="str">
        <f t="shared" si="12"/>
        <v>29.0434622000000000</v>
      </c>
      <c r="Y92" t="str">
        <f t="shared" si="13"/>
        <v>-95.4469269000000000</v>
      </c>
      <c r="AA92">
        <f t="shared" si="14"/>
        <v>0.3145339144822043</v>
      </c>
      <c r="AC92" s="14" t="str">
        <f t="shared" si="8"/>
        <v>N</v>
      </c>
      <c r="AD92" t="str">
        <f t="shared" si="15"/>
        <v>update x set bearing = 'N' from storecompetitorstorexref x where storecompetitorstorexref = 323</v>
      </c>
    </row>
    <row r="93" spans="1:30" x14ac:dyDescent="0.25">
      <c r="A93">
        <v>337</v>
      </c>
      <c r="B93" t="s">
        <v>169</v>
      </c>
      <c r="C93" t="s">
        <v>158</v>
      </c>
      <c r="D93" t="s">
        <v>170</v>
      </c>
      <c r="E93" t="s">
        <v>160</v>
      </c>
      <c r="F93" s="3">
        <f>GoogleDistance!E92</f>
        <v>16.8</v>
      </c>
      <c r="H93" t="str">
        <f t="shared" si="9"/>
        <v>update x set distance = 16.8 from storecompetitorstorexref x where storecompetitorstorexref = 337</v>
      </c>
      <c r="U93">
        <f>Table1[[#This Row],[StoreCompetitorStoreXRef]]</f>
        <v>337</v>
      </c>
      <c r="V93" t="str">
        <f t="shared" si="10"/>
        <v>29.3315030000000010</v>
      </c>
      <c r="W93" t="str">
        <f t="shared" si="11"/>
        <v>-96.1191189999999980</v>
      </c>
      <c r="X93" t="str">
        <f t="shared" si="12"/>
        <v>29.2159672999999990</v>
      </c>
      <c r="Y93" t="str">
        <f t="shared" si="13"/>
        <v>-96.2855181000000040</v>
      </c>
      <c r="AA93">
        <f t="shared" si="14"/>
        <v>2.4083191972611724</v>
      </c>
      <c r="AC93" s="14" t="str">
        <f t="shared" si="8"/>
        <v>N</v>
      </c>
      <c r="AD93" t="str">
        <f t="shared" si="15"/>
        <v>update x set bearing = 'N' from storecompetitorstorexref x where storecompetitorstorexref = 337</v>
      </c>
    </row>
    <row r="94" spans="1:30" hidden="1" x14ac:dyDescent="0.25">
      <c r="A94">
        <v>101</v>
      </c>
      <c r="B94" t="s">
        <v>169</v>
      </c>
      <c r="C94" t="s">
        <v>47</v>
      </c>
      <c r="D94" t="s">
        <v>170</v>
      </c>
      <c r="E94" t="s">
        <v>171</v>
      </c>
      <c r="F94" s="3">
        <f>GoogleDistance!E93</f>
        <v>2.2999999999999998</v>
      </c>
      <c r="H94" t="str">
        <f t="shared" si="9"/>
        <v>update x set distance = 2.3 from storecompetitorstorexref x where storecompetitorstorexref = 101</v>
      </c>
      <c r="U94">
        <f>Table1[[#This Row],[StoreCompetitorStoreXRef]]</f>
        <v>101</v>
      </c>
      <c r="V94" t="str">
        <f t="shared" si="10"/>
        <v>29.3315030000000010</v>
      </c>
      <c r="W94" t="str">
        <f t="shared" si="11"/>
        <v>-96.1191189999999980</v>
      </c>
      <c r="X94" t="str">
        <f t="shared" si="12"/>
        <v>29.3270623000000000</v>
      </c>
      <c r="Y94" t="str">
        <f t="shared" si="13"/>
        <v>-96.1243732000000000</v>
      </c>
      <c r="AA94">
        <f t="shared" si="14"/>
        <v>2.6110059786041648</v>
      </c>
      <c r="AC94" s="14" t="str">
        <f t="shared" si="8"/>
        <v>N</v>
      </c>
      <c r="AD94" t="str">
        <f t="shared" si="15"/>
        <v>update x set bearing = 'N' from storecompetitorstorexref x where storecompetitorstorexref = 101</v>
      </c>
    </row>
    <row r="95" spans="1:30" x14ac:dyDescent="0.25">
      <c r="A95">
        <v>147</v>
      </c>
      <c r="B95" t="s">
        <v>169</v>
      </c>
      <c r="C95" t="s">
        <v>172</v>
      </c>
      <c r="D95" t="s">
        <v>170</v>
      </c>
      <c r="E95" t="s">
        <v>173</v>
      </c>
      <c r="F95" s="3">
        <f>GoogleDistance!E94</f>
        <v>21.3</v>
      </c>
      <c r="H95" t="str">
        <f t="shared" si="9"/>
        <v>update x set distance = 21.3 from storecompetitorstorexref x where storecompetitorstorexref = 147</v>
      </c>
      <c r="U95">
        <f>Table1[[#This Row],[StoreCompetitorStoreXRef]]</f>
        <v>147</v>
      </c>
      <c r="V95" t="str">
        <f t="shared" si="10"/>
        <v>29.3315030000000010</v>
      </c>
      <c r="W95" t="str">
        <f t="shared" si="11"/>
        <v>-96.1191189999999980</v>
      </c>
      <c r="X95" t="str">
        <f t="shared" si="12"/>
        <v>29.1569553000000000</v>
      </c>
      <c r="Y95" t="str">
        <f t="shared" si="13"/>
        <v>-96.3354045000000000</v>
      </c>
      <c r="AA95">
        <f t="shared" si="14"/>
        <v>2.4383916300712198</v>
      </c>
      <c r="AC95" s="14" t="str">
        <f t="shared" si="8"/>
        <v>N</v>
      </c>
      <c r="AD95" t="str">
        <f t="shared" si="15"/>
        <v>update x set bearing = 'N' from storecompetitorstorexref x where storecompetitorstorexref = 147</v>
      </c>
    </row>
    <row r="96" spans="1:30" x14ac:dyDescent="0.25">
      <c r="A96">
        <v>347</v>
      </c>
      <c r="B96" t="s">
        <v>169</v>
      </c>
      <c r="C96" t="s">
        <v>165</v>
      </c>
      <c r="D96" t="s">
        <v>170</v>
      </c>
      <c r="E96" t="s">
        <v>166</v>
      </c>
      <c r="F96" s="3">
        <f>GoogleDistance!E95</f>
        <v>16.399999999999999</v>
      </c>
      <c r="H96" t="str">
        <f t="shared" si="9"/>
        <v>update x set distance = 16.4 from storecompetitorstorexref x where storecompetitorstorexref = 347</v>
      </c>
      <c r="U96">
        <f>Table1[[#This Row],[StoreCompetitorStoreXRef]]</f>
        <v>347</v>
      </c>
      <c r="V96" t="str">
        <f t="shared" si="10"/>
        <v>29.3315030000000010</v>
      </c>
      <c r="W96" t="str">
        <f t="shared" si="11"/>
        <v>-96.1191189999999980</v>
      </c>
      <c r="X96" t="str">
        <f t="shared" si="12"/>
        <v>29.1792290000000000</v>
      </c>
      <c r="Y96" t="str">
        <f t="shared" si="13"/>
        <v>-96.2624672000000000</v>
      </c>
      <c r="AA96">
        <f t="shared" si="14"/>
        <v>2.5983985827242488</v>
      </c>
      <c r="AC96" s="14" t="str">
        <f t="shared" si="8"/>
        <v>N</v>
      </c>
      <c r="AD96" t="str">
        <f t="shared" si="15"/>
        <v>update x set bearing = 'N' from storecompetitorstorexref x where storecompetitorstorexref = 347</v>
      </c>
    </row>
    <row r="97" spans="1:30" hidden="1" x14ac:dyDescent="0.25">
      <c r="A97">
        <v>348</v>
      </c>
      <c r="B97" t="s">
        <v>169</v>
      </c>
      <c r="C97" t="s">
        <v>174</v>
      </c>
      <c r="D97" t="s">
        <v>170</v>
      </c>
      <c r="E97" t="s">
        <v>175</v>
      </c>
      <c r="F97" s="3">
        <f>GoogleDistance!E96</f>
        <v>5.6</v>
      </c>
      <c r="H97" t="str">
        <f t="shared" si="9"/>
        <v>update x set distance = 5.6 from storecompetitorstorexref x where storecompetitorstorexref = 348</v>
      </c>
      <c r="U97">
        <f>Table1[[#This Row],[StoreCompetitorStoreXRef]]</f>
        <v>348</v>
      </c>
      <c r="V97" t="str">
        <f t="shared" si="10"/>
        <v>29.3315030000000010</v>
      </c>
      <c r="W97" t="str">
        <f t="shared" si="11"/>
        <v>-96.1191189999999980</v>
      </c>
      <c r="X97" t="str">
        <f t="shared" si="12"/>
        <v>29.3921623000000000</v>
      </c>
      <c r="Y97" t="str">
        <f t="shared" si="13"/>
        <v>-96.0786186000000000</v>
      </c>
      <c r="AA97">
        <f t="shared" si="14"/>
        <v>-0.28299197791213776</v>
      </c>
      <c r="AC97" s="14" t="str">
        <f t="shared" si="8"/>
        <v>N</v>
      </c>
      <c r="AD97" t="str">
        <f t="shared" si="15"/>
        <v>update x set bearing = 'N' from storecompetitorstorexref x where storecompetitorstorexref = 348</v>
      </c>
    </row>
    <row r="98" spans="1:30" x14ac:dyDescent="0.25">
      <c r="A98">
        <v>360</v>
      </c>
      <c r="B98" t="s">
        <v>169</v>
      </c>
      <c r="C98" t="s">
        <v>167</v>
      </c>
      <c r="D98" t="s">
        <v>170</v>
      </c>
      <c r="E98" t="s">
        <v>168</v>
      </c>
      <c r="F98" s="3">
        <f>GoogleDistance!E97</f>
        <v>16.3</v>
      </c>
      <c r="H98" t="str">
        <f t="shared" si="9"/>
        <v>update x set distance = 16.3 from storecompetitorstorexref x where storecompetitorstorexref = 360</v>
      </c>
      <c r="U98">
        <f>Table1[[#This Row],[StoreCompetitorStoreXRef]]</f>
        <v>360</v>
      </c>
      <c r="V98" t="str">
        <f t="shared" si="10"/>
        <v>29.3315030000000010</v>
      </c>
      <c r="W98" t="str">
        <f t="shared" si="11"/>
        <v>-96.1191189999999980</v>
      </c>
      <c r="X98" t="str">
        <f t="shared" si="12"/>
        <v>29.1790329000000000</v>
      </c>
      <c r="Y98" t="str">
        <f t="shared" si="13"/>
        <v>-96.2602766000000000</v>
      </c>
      <c r="AA98">
        <f t="shared" si="14"/>
        <v>2.6061115332984635</v>
      </c>
      <c r="AC98" s="14" t="str">
        <f t="shared" si="8"/>
        <v>N</v>
      </c>
      <c r="AD98" t="str">
        <f t="shared" si="15"/>
        <v>update x set bearing = 'N' from storecompetitorstorexref x where storecompetitorstorexref = 360</v>
      </c>
    </row>
    <row r="99" spans="1:30" hidden="1" x14ac:dyDescent="0.25">
      <c r="A99">
        <v>138</v>
      </c>
      <c r="B99" t="s">
        <v>176</v>
      </c>
      <c r="C99" t="s">
        <v>177</v>
      </c>
      <c r="D99" t="s">
        <v>178</v>
      </c>
      <c r="E99" t="s">
        <v>179</v>
      </c>
      <c r="F99" s="3">
        <f>GoogleDistance!E98</f>
        <v>4.2</v>
      </c>
      <c r="H99" t="str">
        <f t="shared" si="9"/>
        <v>update x set distance = 4.2 from storecompetitorstorexref x where storecompetitorstorexref = 138</v>
      </c>
      <c r="U99">
        <f>Table1[[#This Row],[StoreCompetitorStoreXRef]]</f>
        <v>138</v>
      </c>
      <c r="V99" t="str">
        <f t="shared" si="10"/>
        <v>29.5548955000000010</v>
      </c>
      <c r="W99" t="str">
        <f t="shared" si="11"/>
        <v>-95.6938702000000060</v>
      </c>
      <c r="X99" t="str">
        <f t="shared" si="12"/>
        <v>29.5584388000000000</v>
      </c>
      <c r="Y99" t="str">
        <f t="shared" si="13"/>
        <v>-95.6936739000000000</v>
      </c>
      <c r="AA99">
        <f t="shared" si="14"/>
        <v>-1.566484700365043E-2</v>
      </c>
      <c r="AC99" s="14" t="str">
        <f t="shared" si="8"/>
        <v>N</v>
      </c>
      <c r="AD99" t="str">
        <f t="shared" si="15"/>
        <v>update x set bearing = 'N' from storecompetitorstorexref x where storecompetitorstorexref = 138</v>
      </c>
    </row>
    <row r="100" spans="1:30" hidden="1" x14ac:dyDescent="0.25">
      <c r="A100">
        <v>383</v>
      </c>
      <c r="B100" t="s">
        <v>176</v>
      </c>
      <c r="C100" t="s">
        <v>64</v>
      </c>
      <c r="D100" t="s">
        <v>178</v>
      </c>
      <c r="E100" t="s">
        <v>182</v>
      </c>
      <c r="F100" s="3">
        <f>GoogleDistance!E99</f>
        <v>0.8</v>
      </c>
      <c r="H100" t="str">
        <f t="shared" si="9"/>
        <v>update x set distance = 0.8 from storecompetitorstorexref x where storecompetitorstorexref = 383</v>
      </c>
      <c r="U100">
        <f>Table1[[#This Row],[StoreCompetitorStoreXRef]]</f>
        <v>383</v>
      </c>
      <c r="V100" t="str">
        <f t="shared" si="10"/>
        <v>29.5548955000000010</v>
      </c>
      <c r="W100" t="str">
        <f t="shared" si="11"/>
        <v>-95.6938702000000060</v>
      </c>
      <c r="X100" t="str">
        <f t="shared" si="12"/>
        <v>29.5446672000000000</v>
      </c>
      <c r="Y100" t="str">
        <f t="shared" si="13"/>
        <v>-95.6985230000000000</v>
      </c>
      <c r="AA100">
        <f t="shared" si="14"/>
        <v>3.0077240362459596</v>
      </c>
      <c r="AC100" s="14" t="str">
        <f t="shared" si="8"/>
        <v>N</v>
      </c>
      <c r="AD100" t="str">
        <f t="shared" si="15"/>
        <v>update x set bearing = 'N' from storecompetitorstorexref x where storecompetitorstorexref = 383</v>
      </c>
    </row>
    <row r="101" spans="1:30" hidden="1" x14ac:dyDescent="0.25">
      <c r="A101">
        <v>382</v>
      </c>
      <c r="B101" t="s">
        <v>176</v>
      </c>
      <c r="C101" t="s">
        <v>180</v>
      </c>
      <c r="D101" t="s">
        <v>178</v>
      </c>
      <c r="E101" t="s">
        <v>181</v>
      </c>
      <c r="F101" s="3">
        <f>GoogleDistance!E100</f>
        <v>0.6</v>
      </c>
      <c r="H101" t="str">
        <f t="shared" si="9"/>
        <v>update x set distance = 0.6 from storecompetitorstorexref x where storecompetitorstorexref = 382</v>
      </c>
      <c r="U101">
        <f>Table1[[#This Row],[StoreCompetitorStoreXRef]]</f>
        <v>382</v>
      </c>
      <c r="V101" t="str">
        <f t="shared" si="10"/>
        <v>29.5548955000000010</v>
      </c>
      <c r="W101" t="str">
        <f t="shared" si="11"/>
        <v>-95.6938702000000060</v>
      </c>
      <c r="X101" t="str">
        <f t="shared" si="12"/>
        <v>29.5481032000000000</v>
      </c>
      <c r="Y101" t="str">
        <f t="shared" si="13"/>
        <v>-95.6999320000000000</v>
      </c>
      <c r="AA101">
        <f t="shared" si="14"/>
        <v>2.885913395897723</v>
      </c>
      <c r="AC101" s="14" t="str">
        <f t="shared" si="8"/>
        <v>N</v>
      </c>
      <c r="AD101" t="str">
        <f t="shared" si="15"/>
        <v>update x set bearing = 'N' from storecompetitorstorexref x where storecompetitorstorexref = 382</v>
      </c>
    </row>
    <row r="102" spans="1:30" hidden="1" x14ac:dyDescent="0.25">
      <c r="A102">
        <v>394</v>
      </c>
      <c r="B102" t="s">
        <v>176</v>
      </c>
      <c r="C102" t="s">
        <v>183</v>
      </c>
      <c r="D102" t="s">
        <v>178</v>
      </c>
      <c r="E102" t="s">
        <v>184</v>
      </c>
      <c r="F102" s="3">
        <f>GoogleDistance!E101</f>
        <v>0.7</v>
      </c>
      <c r="H102" t="str">
        <f t="shared" si="9"/>
        <v>update x set distance = 0.7 from storecompetitorstorexref x where storecompetitorstorexref = 394</v>
      </c>
      <c r="U102">
        <f>Table1[[#This Row],[StoreCompetitorStoreXRef]]</f>
        <v>394</v>
      </c>
      <c r="V102" t="str">
        <f t="shared" si="10"/>
        <v>29.5548955000000010</v>
      </c>
      <c r="W102" t="str">
        <f t="shared" si="11"/>
        <v>-95.6938702000000060</v>
      </c>
      <c r="X102" t="str">
        <f t="shared" si="12"/>
        <v>29.5573243000000000</v>
      </c>
      <c r="Y102" t="str">
        <f t="shared" si="13"/>
        <v>-95.6941865200000000</v>
      </c>
      <c r="AA102">
        <f t="shared" si="14"/>
        <v>3.6950696856904504E-2</v>
      </c>
      <c r="AC102" s="14" t="str">
        <f t="shared" si="8"/>
        <v>N</v>
      </c>
      <c r="AD102" t="str">
        <f t="shared" si="15"/>
        <v>update x set bearing = 'N' from storecompetitorstorexref x where storecompetitorstorexref = 394</v>
      </c>
    </row>
    <row r="103" spans="1:30" hidden="1" x14ac:dyDescent="0.25">
      <c r="A103">
        <v>93</v>
      </c>
      <c r="B103" t="s">
        <v>185</v>
      </c>
      <c r="C103" t="s">
        <v>186</v>
      </c>
      <c r="D103" t="s">
        <v>187</v>
      </c>
      <c r="E103" t="s">
        <v>188</v>
      </c>
      <c r="F103" s="3">
        <f>GoogleDistance!E102</f>
        <v>4.4000000000000004</v>
      </c>
      <c r="H103" t="str">
        <f t="shared" si="9"/>
        <v>update x set distance = 4.4 from storecompetitorstorexref x where storecompetitorstorexref = 93</v>
      </c>
      <c r="U103">
        <f>Table1[[#This Row],[StoreCompetitorStoreXRef]]</f>
        <v>93</v>
      </c>
      <c r="V103" t="str">
        <f t="shared" si="10"/>
        <v>29.9795212999999980</v>
      </c>
      <c r="W103" t="str">
        <f t="shared" si="11"/>
        <v>-95.7170389000000060</v>
      </c>
      <c r="X103" t="str">
        <f t="shared" si="12"/>
        <v>29.9745420000000000</v>
      </c>
      <c r="Y103" t="str">
        <f t="shared" si="13"/>
        <v>-95.7013577000000000</v>
      </c>
      <c r="AA103">
        <f t="shared" si="14"/>
        <v>2.7566778681989192</v>
      </c>
      <c r="AC103" s="14" t="str">
        <f t="shared" si="8"/>
        <v>N</v>
      </c>
      <c r="AD103" t="str">
        <f t="shared" si="15"/>
        <v>update x set bearing = 'N' from storecompetitorstorexref x where storecompetitorstorexref = 93</v>
      </c>
    </row>
    <row r="104" spans="1:30" hidden="1" x14ac:dyDescent="0.25">
      <c r="A104">
        <v>200</v>
      </c>
      <c r="B104" t="s">
        <v>185</v>
      </c>
      <c r="C104" t="s">
        <v>189</v>
      </c>
      <c r="D104" t="s">
        <v>187</v>
      </c>
      <c r="E104" t="s">
        <v>190</v>
      </c>
      <c r="F104" s="3">
        <f>GoogleDistance!E103</f>
        <v>2</v>
      </c>
      <c r="H104" t="str">
        <f t="shared" si="9"/>
        <v>update x set distance = 2 from storecompetitorstorexref x where storecompetitorstorexref = 200</v>
      </c>
      <c r="U104">
        <f>Table1[[#This Row],[StoreCompetitorStoreXRef]]</f>
        <v>200</v>
      </c>
      <c r="V104" t="str">
        <f t="shared" si="10"/>
        <v>29.9795212999999980</v>
      </c>
      <c r="W104" t="str">
        <f t="shared" si="11"/>
        <v>-95.7170389000000060</v>
      </c>
      <c r="X104" t="str">
        <f t="shared" si="12"/>
        <v>29.9912230000000000</v>
      </c>
      <c r="Y104" t="str">
        <f t="shared" si="13"/>
        <v>-95.7473083000000000</v>
      </c>
      <c r="AA104">
        <f t="shared" si="14"/>
        <v>-0.36196905164069682</v>
      </c>
      <c r="AC104" s="14" t="str">
        <f t="shared" si="8"/>
        <v>N</v>
      </c>
      <c r="AD104" t="str">
        <f t="shared" si="15"/>
        <v>update x set bearing = 'N' from storecompetitorstorexref x where storecompetitorstorexref = 200</v>
      </c>
    </row>
    <row r="105" spans="1:30" x14ac:dyDescent="0.25">
      <c r="A105">
        <v>279</v>
      </c>
      <c r="B105" t="s">
        <v>185</v>
      </c>
      <c r="C105" t="s">
        <v>191</v>
      </c>
      <c r="D105" t="s">
        <v>187</v>
      </c>
      <c r="E105" t="s">
        <v>192</v>
      </c>
      <c r="F105" s="3">
        <f>GoogleDistance!E104</f>
        <v>39.5</v>
      </c>
      <c r="H105" t="str">
        <f t="shared" si="9"/>
        <v>update x set distance = 39.5 from storecompetitorstorexref x where storecompetitorstorexref = 279</v>
      </c>
      <c r="U105">
        <f>Table1[[#This Row],[StoreCompetitorStoreXRef]]</f>
        <v>279</v>
      </c>
      <c r="V105" t="str">
        <f t="shared" si="10"/>
        <v>29.9795212999999980</v>
      </c>
      <c r="W105" t="str">
        <f t="shared" si="11"/>
        <v>-95.7170389000000060</v>
      </c>
      <c r="X105" t="str">
        <f t="shared" si="12"/>
        <v>29.5411828000000000</v>
      </c>
      <c r="Y105" t="str">
        <f t="shared" si="13"/>
        <v>-95.7093482000000000</v>
      </c>
      <c r="AA105">
        <f t="shared" si="14"/>
        <v>-3.1361695834381678</v>
      </c>
      <c r="AC105" s="14" t="str">
        <f t="shared" si="8"/>
        <v>N</v>
      </c>
      <c r="AD105" t="str">
        <f t="shared" si="15"/>
        <v>update x set bearing = 'N' from storecompetitorstorexref x where storecompetitorstorexref = 279</v>
      </c>
    </row>
    <row r="106" spans="1:30" hidden="1" x14ac:dyDescent="0.25">
      <c r="A106">
        <v>358</v>
      </c>
      <c r="B106" t="s">
        <v>185</v>
      </c>
      <c r="C106" t="s">
        <v>21</v>
      </c>
      <c r="D106" t="s">
        <v>187</v>
      </c>
      <c r="E106" t="s">
        <v>193</v>
      </c>
      <c r="F106" s="3">
        <f>GoogleDistance!E105</f>
        <v>1.6</v>
      </c>
      <c r="H106" t="str">
        <f t="shared" si="9"/>
        <v>update x set distance = 1.6 from storecompetitorstorexref x where storecompetitorstorexref = 358</v>
      </c>
      <c r="U106">
        <f>Table1[[#This Row],[StoreCompetitorStoreXRef]]</f>
        <v>358</v>
      </c>
      <c r="V106" t="str">
        <f t="shared" si="10"/>
        <v>29.9795212999999980</v>
      </c>
      <c r="W106" t="str">
        <f t="shared" si="11"/>
        <v>-95.7170389000000060</v>
      </c>
      <c r="X106" t="str">
        <f t="shared" si="12"/>
        <v>29.9894774000000000</v>
      </c>
      <c r="Y106" t="str">
        <f t="shared" si="13"/>
        <v>-95.7396155000000000</v>
      </c>
      <c r="AA106">
        <f t="shared" si="14"/>
        <v>-0.31636538797529618</v>
      </c>
      <c r="AC106" s="14" t="str">
        <f t="shared" si="8"/>
        <v>N</v>
      </c>
      <c r="AD106" t="str">
        <f t="shared" si="15"/>
        <v>update x set bearing = 'N' from storecompetitorstorexref x where storecompetitorstorexref = 358</v>
      </c>
    </row>
    <row r="107" spans="1:30" hidden="1" x14ac:dyDescent="0.25">
      <c r="A107">
        <v>177</v>
      </c>
      <c r="B107" t="s">
        <v>194</v>
      </c>
      <c r="C107" t="s">
        <v>195</v>
      </c>
      <c r="D107" t="s">
        <v>196</v>
      </c>
      <c r="E107" t="s">
        <v>197</v>
      </c>
      <c r="F107" s="3">
        <f>GoogleDistance!E106</f>
        <v>9.9</v>
      </c>
      <c r="H107" t="str">
        <f t="shared" si="9"/>
        <v>update x set distance = 9.9 from storecompetitorstorexref x where storecompetitorstorexref = 177</v>
      </c>
      <c r="U107">
        <f>Table1[[#This Row],[StoreCompetitorStoreXRef]]</f>
        <v>177</v>
      </c>
      <c r="V107" t="str">
        <f t="shared" si="10"/>
        <v>30.2163550000000000</v>
      </c>
      <c r="W107" t="str">
        <f t="shared" si="11"/>
        <v>-97.3067320000000000</v>
      </c>
      <c r="X107" t="str">
        <f t="shared" si="12"/>
        <v>30.1079361000000000</v>
      </c>
      <c r="Y107" t="str">
        <f t="shared" si="13"/>
        <v>-97.3360557200000000</v>
      </c>
      <c r="AA107">
        <f t="shared" si="14"/>
        <v>-3.0713832399017016</v>
      </c>
      <c r="AC107" s="14" t="str">
        <f t="shared" si="8"/>
        <v>N</v>
      </c>
      <c r="AD107" t="str">
        <f t="shared" si="15"/>
        <v>update x set bearing = 'N' from storecompetitorstorexref x where storecompetitorstorexref = 177</v>
      </c>
    </row>
    <row r="108" spans="1:30" hidden="1" x14ac:dyDescent="0.25">
      <c r="A108">
        <v>203</v>
      </c>
      <c r="B108" t="s">
        <v>194</v>
      </c>
      <c r="C108" t="s">
        <v>40</v>
      </c>
      <c r="D108" t="s">
        <v>196</v>
      </c>
      <c r="E108" t="s">
        <v>198</v>
      </c>
      <c r="F108" s="3">
        <f>GoogleDistance!E107</f>
        <v>8.3000000000000007</v>
      </c>
      <c r="H108" t="str">
        <f t="shared" si="9"/>
        <v>update x set distance = 8.3 from storecompetitorstorexref x where storecompetitorstorexref = 203</v>
      </c>
      <c r="U108">
        <f>Table1[[#This Row],[StoreCompetitorStoreXRef]]</f>
        <v>203</v>
      </c>
      <c r="V108" t="str">
        <f t="shared" si="10"/>
        <v>30.2163550000000000</v>
      </c>
      <c r="W108" t="str">
        <f t="shared" si="11"/>
        <v>-97.3067320000000000</v>
      </c>
      <c r="X108" t="str">
        <f t="shared" si="12"/>
        <v>30.1098949000000000</v>
      </c>
      <c r="Y108" t="str">
        <f t="shared" si="13"/>
        <v>-97.3066931000000000</v>
      </c>
      <c r="AA108">
        <f t="shared" si="14"/>
        <v>3.1414968553499851</v>
      </c>
      <c r="AC108" s="14" t="str">
        <f t="shared" si="8"/>
        <v>N</v>
      </c>
      <c r="AD108" t="str">
        <f t="shared" si="15"/>
        <v>update x set bearing = 'N' from storecompetitorstorexref x where storecompetitorstorexref = 203</v>
      </c>
    </row>
    <row r="109" spans="1:30" hidden="1" x14ac:dyDescent="0.25">
      <c r="A109">
        <v>204</v>
      </c>
      <c r="B109" t="s">
        <v>194</v>
      </c>
      <c r="C109" t="s">
        <v>199</v>
      </c>
      <c r="D109" t="s">
        <v>196</v>
      </c>
      <c r="E109" t="s">
        <v>200</v>
      </c>
      <c r="F109" s="3">
        <f>GoogleDistance!E108</f>
        <v>9.5</v>
      </c>
      <c r="H109" t="str">
        <f t="shared" si="9"/>
        <v>update x set distance = 9.5 from storecompetitorstorexref x where storecompetitorstorexref = 204</v>
      </c>
      <c r="U109">
        <f>Table1[[#This Row],[StoreCompetitorStoreXRef]]</f>
        <v>204</v>
      </c>
      <c r="V109" t="str">
        <f t="shared" si="10"/>
        <v>30.2163550000000000</v>
      </c>
      <c r="W109" t="str">
        <f t="shared" si="11"/>
        <v>-97.3067320000000000</v>
      </c>
      <c r="X109" t="str">
        <f t="shared" si="12"/>
        <v>30.1035100000000000</v>
      </c>
      <c r="Y109" t="str">
        <f t="shared" si="13"/>
        <v>-97.2864758000000000</v>
      </c>
      <c r="AA109">
        <f t="shared" si="14"/>
        <v>3.0956844876133331</v>
      </c>
      <c r="AC109" s="14" t="str">
        <f t="shared" si="8"/>
        <v>N</v>
      </c>
      <c r="AD109" t="str">
        <f t="shared" si="15"/>
        <v>update x set bearing = 'N' from storecompetitorstorexref x where storecompetitorstorexref = 204</v>
      </c>
    </row>
    <row r="110" spans="1:30" hidden="1" x14ac:dyDescent="0.25">
      <c r="A110">
        <v>356</v>
      </c>
      <c r="B110" t="s">
        <v>194</v>
      </c>
      <c r="C110" t="s">
        <v>47</v>
      </c>
      <c r="D110" t="s">
        <v>196</v>
      </c>
      <c r="E110" t="s">
        <v>201</v>
      </c>
      <c r="F110" s="3">
        <f>GoogleDistance!E109</f>
        <v>9.9</v>
      </c>
      <c r="H110" t="str">
        <f t="shared" si="9"/>
        <v>update x set distance = 9.9 from storecompetitorstorexref x where storecompetitorstorexref = 356</v>
      </c>
      <c r="U110">
        <f>Table1[[#This Row],[StoreCompetitorStoreXRef]]</f>
        <v>356</v>
      </c>
      <c r="V110" t="str">
        <f t="shared" si="10"/>
        <v>30.2163550000000000</v>
      </c>
      <c r="W110" t="str">
        <f t="shared" si="11"/>
        <v>-97.3067320000000000</v>
      </c>
      <c r="X110" t="str">
        <f t="shared" si="12"/>
        <v>30.1041014000000000</v>
      </c>
      <c r="Y110" t="str">
        <f t="shared" si="13"/>
        <v>-97.3334944000000000</v>
      </c>
      <c r="AA110">
        <f t="shared" si="14"/>
        <v>-3.0805405959501964</v>
      </c>
      <c r="AC110" s="14" t="str">
        <f t="shared" si="8"/>
        <v>N</v>
      </c>
      <c r="AD110" t="str">
        <f t="shared" si="15"/>
        <v>update x set bearing = 'N' from storecompetitorstorexref x where storecompetitorstorexref = 356</v>
      </c>
    </row>
    <row r="111" spans="1:30" x14ac:dyDescent="0.25">
      <c r="A111">
        <v>396</v>
      </c>
      <c r="B111" t="s">
        <v>194</v>
      </c>
      <c r="C111" t="s">
        <v>202</v>
      </c>
      <c r="D111" t="s">
        <v>196</v>
      </c>
      <c r="E111" t="s">
        <v>203</v>
      </c>
      <c r="F111" s="3">
        <f>GoogleDistance!E110</f>
        <v>37.799999999999997</v>
      </c>
      <c r="H111" t="str">
        <f t="shared" si="9"/>
        <v>update x set distance = 37.8 from storecompetitorstorexref x where storecompetitorstorexref = 396</v>
      </c>
      <c r="U111">
        <f>Table1[[#This Row],[StoreCompetitorStoreXRef]]</f>
        <v>396</v>
      </c>
      <c r="V111" t="str">
        <f t="shared" si="10"/>
        <v>30.2163550000000000</v>
      </c>
      <c r="W111" t="str">
        <f t="shared" si="11"/>
        <v>-97.3067320000000000</v>
      </c>
      <c r="X111" t="str">
        <f t="shared" si="12"/>
        <v>30.2202428000000000</v>
      </c>
      <c r="Y111" t="str">
        <f t="shared" si="13"/>
        <v>-97.7550061000000000</v>
      </c>
      <c r="AA111">
        <f t="shared" si="14"/>
        <v>-1.7565843195637958</v>
      </c>
      <c r="AC111" s="14" t="str">
        <f t="shared" si="8"/>
        <v>N</v>
      </c>
      <c r="AD111" t="str">
        <f t="shared" si="15"/>
        <v>update x set bearing = 'N' from storecompetitorstorexref x where storecompetitorstorexref = 396</v>
      </c>
    </row>
    <row r="112" spans="1:30" x14ac:dyDescent="0.25">
      <c r="A112">
        <v>186</v>
      </c>
      <c r="B112" t="s">
        <v>204</v>
      </c>
      <c r="C112" t="s">
        <v>205</v>
      </c>
      <c r="D112" t="s">
        <v>206</v>
      </c>
      <c r="E112" t="s">
        <v>207</v>
      </c>
      <c r="F112" s="3">
        <f>GoogleDistance!E111</f>
        <v>14.9</v>
      </c>
      <c r="H112" t="str">
        <f t="shared" si="9"/>
        <v>update x set distance = 14.9 from storecompetitorstorexref x where storecompetitorstorexref = 186</v>
      </c>
      <c r="U112">
        <f>Table1[[#This Row],[StoreCompetitorStoreXRef]]</f>
        <v>186</v>
      </c>
      <c r="V112" t="str">
        <f t="shared" si="10"/>
        <v>29.8311140000000000</v>
      </c>
      <c r="W112" t="str">
        <f t="shared" si="11"/>
        <v>-98.0812680000000000</v>
      </c>
      <c r="X112" t="str">
        <f t="shared" si="12"/>
        <v>29.6841883000000000</v>
      </c>
      <c r="Y112" t="str">
        <f t="shared" si="13"/>
        <v>-98.1285572000000000</v>
      </c>
      <c r="AA112">
        <f t="shared" si="14"/>
        <v>3.0898317019724857</v>
      </c>
      <c r="AC112" s="14" t="str">
        <f t="shared" si="8"/>
        <v>N</v>
      </c>
      <c r="AD112" t="str">
        <f t="shared" si="15"/>
        <v>update x set bearing = 'N' from storecompetitorstorexref x where storecompetitorstorexref = 186</v>
      </c>
    </row>
    <row r="113" spans="1:30" x14ac:dyDescent="0.25">
      <c r="A113">
        <v>187</v>
      </c>
      <c r="B113" t="s">
        <v>204</v>
      </c>
      <c r="C113" t="s">
        <v>208</v>
      </c>
      <c r="D113" t="s">
        <v>206</v>
      </c>
      <c r="E113" t="s">
        <v>209</v>
      </c>
      <c r="F113" s="3">
        <f>GoogleDistance!E112</f>
        <v>16.5</v>
      </c>
      <c r="H113" t="str">
        <f t="shared" si="9"/>
        <v>update x set distance = 16.5 from storecompetitorstorexref x where storecompetitorstorexref = 187</v>
      </c>
      <c r="U113">
        <f>Table1[[#This Row],[StoreCompetitorStoreXRef]]</f>
        <v>187</v>
      </c>
      <c r="V113" t="str">
        <f t="shared" si="10"/>
        <v>29.8311140000000000</v>
      </c>
      <c r="W113" t="str">
        <f t="shared" si="11"/>
        <v>-98.0812680000000000</v>
      </c>
      <c r="X113" t="str">
        <f t="shared" si="12"/>
        <v>29.6752202000000000</v>
      </c>
      <c r="Y113" t="str">
        <f t="shared" si="13"/>
        <v>-98.1545534000000000</v>
      </c>
      <c r="AA113">
        <f t="shared" si="14"/>
        <v>3.0617866511137066</v>
      </c>
      <c r="AC113" s="14" t="str">
        <f t="shared" si="8"/>
        <v>N</v>
      </c>
      <c r="AD113" t="str">
        <f t="shared" si="15"/>
        <v>update x set bearing = 'N' from storecompetitorstorexref x where storecompetitorstorexref = 187</v>
      </c>
    </row>
    <row r="114" spans="1:30" x14ac:dyDescent="0.25">
      <c r="A114">
        <v>213</v>
      </c>
      <c r="B114" t="s">
        <v>204</v>
      </c>
      <c r="C114" t="s">
        <v>210</v>
      </c>
      <c r="D114" t="s">
        <v>206</v>
      </c>
      <c r="E114" t="s">
        <v>211</v>
      </c>
      <c r="F114" s="3">
        <f>GoogleDistance!E113</f>
        <v>17.2</v>
      </c>
      <c r="H114" t="str">
        <f t="shared" si="9"/>
        <v>update x set distance = 17.2 from storecompetitorstorexref x where storecompetitorstorexref = 213</v>
      </c>
      <c r="U114">
        <f>Table1[[#This Row],[StoreCompetitorStoreXRef]]</f>
        <v>213</v>
      </c>
      <c r="V114" t="str">
        <f t="shared" si="10"/>
        <v>29.8311140000000000</v>
      </c>
      <c r="W114" t="str">
        <f t="shared" si="11"/>
        <v>-98.0812680000000000</v>
      </c>
      <c r="X114" t="str">
        <f t="shared" si="12"/>
        <v>29.6762810000000000</v>
      </c>
      <c r="Y114" t="str">
        <f t="shared" si="13"/>
        <v>-98.1581520000000000</v>
      </c>
      <c r="AA114">
        <f t="shared" si="14"/>
        <v>3.0578209905016256</v>
      </c>
      <c r="AC114" s="14" t="str">
        <f t="shared" si="8"/>
        <v>N</v>
      </c>
      <c r="AD114" t="str">
        <f t="shared" si="15"/>
        <v>update x set bearing = 'N' from storecompetitorstorexref x where storecompetitorstorexref = 213</v>
      </c>
    </row>
    <row r="115" spans="1:30" x14ac:dyDescent="0.25">
      <c r="A115">
        <v>376</v>
      </c>
      <c r="B115" t="s">
        <v>204</v>
      </c>
      <c r="C115" t="s">
        <v>212</v>
      </c>
      <c r="D115" t="s">
        <v>206</v>
      </c>
      <c r="E115" t="s">
        <v>213</v>
      </c>
      <c r="F115" s="3">
        <f>GoogleDistance!E114</f>
        <v>10.1</v>
      </c>
      <c r="H115" t="str">
        <f t="shared" si="9"/>
        <v>update x set distance = 10.1 from storecompetitorstorexref x where storecompetitorstorexref = 376</v>
      </c>
      <c r="U115">
        <f>Table1[[#This Row],[StoreCompetitorStoreXRef]]</f>
        <v>376</v>
      </c>
      <c r="V115" t="str">
        <f t="shared" si="10"/>
        <v>29.8311140000000000</v>
      </c>
      <c r="W115" t="str">
        <f t="shared" si="11"/>
        <v>-98.0812680000000000</v>
      </c>
      <c r="X115" t="str">
        <f t="shared" si="12"/>
        <v>29.7310240000000000</v>
      </c>
      <c r="Y115" t="str">
        <f t="shared" si="13"/>
        <v>-98.0794999000000000</v>
      </c>
      <c r="AA115">
        <f t="shared" si="14"/>
        <v>-3.1395779651392335</v>
      </c>
      <c r="AC115" s="14" t="str">
        <f t="shared" si="8"/>
        <v>N</v>
      </c>
      <c r="AD115" t="str">
        <f t="shared" si="15"/>
        <v>update x set bearing = 'N' from storecompetitorstorexref x where storecompetitorstorexref = 376</v>
      </c>
    </row>
    <row r="116" spans="1:30" x14ac:dyDescent="0.25">
      <c r="A116">
        <v>395</v>
      </c>
      <c r="B116" t="s">
        <v>204</v>
      </c>
      <c r="C116" t="s">
        <v>214</v>
      </c>
      <c r="D116" t="s">
        <v>206</v>
      </c>
      <c r="E116" t="s">
        <v>215</v>
      </c>
      <c r="F116" s="3">
        <f>GoogleDistance!E115</f>
        <v>79.3</v>
      </c>
      <c r="H116" t="str">
        <f t="shared" si="9"/>
        <v>update x set distance = 79.3 from storecompetitorstorexref x where storecompetitorstorexref = 395</v>
      </c>
      <c r="U116">
        <f>Table1[[#This Row],[StoreCompetitorStoreXRef]]</f>
        <v>395</v>
      </c>
      <c r="V116" t="str">
        <f t="shared" si="10"/>
        <v>29.8311140000000000</v>
      </c>
      <c r="W116" t="str">
        <f t="shared" si="11"/>
        <v>-98.0812680000000000</v>
      </c>
      <c r="X116" t="str">
        <f t="shared" si="12"/>
        <v>30.6449516000000000</v>
      </c>
      <c r="Y116" t="str">
        <f t="shared" si="13"/>
        <v>-97.6914371000000000</v>
      </c>
      <c r="AA116">
        <f t="shared" si="14"/>
        <v>0.3847540322387295</v>
      </c>
      <c r="AC116" s="14" t="str">
        <f t="shared" si="8"/>
        <v>N</v>
      </c>
      <c r="AD116" t="str">
        <f t="shared" si="15"/>
        <v>update x set bearing = 'N' from storecompetitorstorexref x where storecompetitorstorexref = 395</v>
      </c>
    </row>
    <row r="117" spans="1:30" x14ac:dyDescent="0.25">
      <c r="A117">
        <v>362</v>
      </c>
      <c r="B117" t="s">
        <v>216</v>
      </c>
      <c r="C117" t="s">
        <v>93</v>
      </c>
      <c r="D117" t="s">
        <v>217</v>
      </c>
      <c r="E117" t="s">
        <v>95</v>
      </c>
      <c r="F117" s="3">
        <f>GoogleDistance!E116</f>
        <v>65.7</v>
      </c>
      <c r="H117" t="str">
        <f t="shared" si="9"/>
        <v>update x set distance = 65.7 from storecompetitorstorexref x where storecompetitorstorexref = 362</v>
      </c>
      <c r="U117">
        <f>Table1[[#This Row],[StoreCompetitorStoreXRef]]</f>
        <v>362</v>
      </c>
      <c r="V117" t="str">
        <f t="shared" si="10"/>
        <v>30.1593770000000000</v>
      </c>
      <c r="W117" t="str">
        <f t="shared" si="11"/>
        <v>-95.9114680000000000</v>
      </c>
      <c r="X117" t="str">
        <f t="shared" si="12"/>
        <v>30.1791039999999990</v>
      </c>
      <c r="Y117" t="str">
        <f t="shared" si="13"/>
        <v>-96.9125391999999980</v>
      </c>
      <c r="AA117">
        <f t="shared" si="14"/>
        <v>-1.9926081532799547</v>
      </c>
      <c r="AC117" s="14" t="str">
        <f t="shared" si="8"/>
        <v>N</v>
      </c>
      <c r="AD117" t="str">
        <f t="shared" si="15"/>
        <v>update x set bearing = 'N' from storecompetitorstorexref x where storecompetitorstorexref = 362</v>
      </c>
    </row>
    <row r="118" spans="1:30" x14ac:dyDescent="0.25">
      <c r="A118">
        <v>244</v>
      </c>
      <c r="B118" t="s">
        <v>216</v>
      </c>
      <c r="C118" t="s">
        <v>186</v>
      </c>
      <c r="D118" t="s">
        <v>217</v>
      </c>
      <c r="E118" t="s">
        <v>188</v>
      </c>
      <c r="F118" s="3">
        <f>GoogleDistance!E117</f>
        <v>22.1</v>
      </c>
      <c r="H118" t="str">
        <f t="shared" si="9"/>
        <v>update x set distance = 22.1 from storecompetitorstorexref x where storecompetitorstorexref = 244</v>
      </c>
      <c r="U118">
        <f>Table1[[#This Row],[StoreCompetitorStoreXRef]]</f>
        <v>244</v>
      </c>
      <c r="V118" t="str">
        <f t="shared" si="10"/>
        <v>30.1593770000000000</v>
      </c>
      <c r="W118" t="str">
        <f t="shared" si="11"/>
        <v>-95.9114680000000000</v>
      </c>
      <c r="X118" t="str">
        <f t="shared" si="12"/>
        <v>29.9745420000000000</v>
      </c>
      <c r="Y118" t="str">
        <f t="shared" si="13"/>
        <v>-95.7013577000000000</v>
      </c>
      <c r="AA118">
        <f t="shared" si="14"/>
        <v>2.9982488421931177</v>
      </c>
      <c r="AC118" s="14" t="str">
        <f t="shared" si="8"/>
        <v>N</v>
      </c>
      <c r="AD118" t="str">
        <f t="shared" si="15"/>
        <v>update x set bearing = 'N' from storecompetitorstorexref x where storecompetitorstorexref = 244</v>
      </c>
    </row>
    <row r="119" spans="1:30" x14ac:dyDescent="0.25">
      <c r="A119">
        <v>245</v>
      </c>
      <c r="B119" t="s">
        <v>216</v>
      </c>
      <c r="C119" t="s">
        <v>189</v>
      </c>
      <c r="D119" t="s">
        <v>217</v>
      </c>
      <c r="E119" t="s">
        <v>190</v>
      </c>
      <c r="F119" s="3">
        <f>GoogleDistance!E118</f>
        <v>19.7</v>
      </c>
      <c r="H119" t="str">
        <f t="shared" si="9"/>
        <v>update x set distance = 19.7 from storecompetitorstorexref x where storecompetitorstorexref = 245</v>
      </c>
      <c r="U119">
        <f>Table1[[#This Row],[StoreCompetitorStoreXRef]]</f>
        <v>245</v>
      </c>
      <c r="V119" t="str">
        <f t="shared" si="10"/>
        <v>30.1593770000000000</v>
      </c>
      <c r="W119" t="str">
        <f t="shared" si="11"/>
        <v>-95.9114680000000000</v>
      </c>
      <c r="X119" t="str">
        <f t="shared" si="12"/>
        <v>29.9912230000000000</v>
      </c>
      <c r="Y119" t="str">
        <f t="shared" si="13"/>
        <v>-95.7473083000000000</v>
      </c>
      <c r="AA119">
        <f t="shared" si="14"/>
        <v>3.0019241831339447</v>
      </c>
      <c r="AC119" s="14" t="str">
        <f t="shared" si="8"/>
        <v>N</v>
      </c>
      <c r="AD119" t="str">
        <f t="shared" si="15"/>
        <v>update x set bearing = 'N' from storecompetitorstorexref x where storecompetitorstorexref = 245</v>
      </c>
    </row>
    <row r="120" spans="1:30" hidden="1" x14ac:dyDescent="0.25">
      <c r="A120">
        <v>256</v>
      </c>
      <c r="B120" t="s">
        <v>216</v>
      </c>
      <c r="C120" t="s">
        <v>218</v>
      </c>
      <c r="D120" t="s">
        <v>217</v>
      </c>
      <c r="E120" t="s">
        <v>219</v>
      </c>
      <c r="F120" s="3">
        <f>GoogleDistance!E119</f>
        <v>7.8</v>
      </c>
      <c r="H120" t="str">
        <f t="shared" si="9"/>
        <v>update x set distance = 7.8 from storecompetitorstorexref x where storecompetitorstorexref = 256</v>
      </c>
      <c r="U120">
        <f>Table1[[#This Row],[StoreCompetitorStoreXRef]]</f>
        <v>256</v>
      </c>
      <c r="V120" t="str">
        <f t="shared" si="10"/>
        <v>30.1593770000000000</v>
      </c>
      <c r="W120" t="str">
        <f t="shared" si="11"/>
        <v>-95.9114680000000000</v>
      </c>
      <c r="X120" t="str">
        <f t="shared" si="12"/>
        <v>30.0669166000000000</v>
      </c>
      <c r="Y120" t="str">
        <f t="shared" si="13"/>
        <v>-95.9219863000000000</v>
      </c>
      <c r="AA120">
        <f t="shared" si="14"/>
        <v>-3.1165417116998189</v>
      </c>
      <c r="AC120" s="14" t="str">
        <f t="shared" si="8"/>
        <v>N</v>
      </c>
      <c r="AD120" t="str">
        <f t="shared" si="15"/>
        <v>update x set bearing = 'N' from storecompetitorstorexref x where storecompetitorstorexref = 256</v>
      </c>
    </row>
    <row r="121" spans="1:30" hidden="1" x14ac:dyDescent="0.25">
      <c r="A121">
        <v>257</v>
      </c>
      <c r="B121" t="s">
        <v>216</v>
      </c>
      <c r="C121" t="s">
        <v>220</v>
      </c>
      <c r="D121" t="s">
        <v>217</v>
      </c>
      <c r="E121" t="s">
        <v>221</v>
      </c>
      <c r="F121" s="3">
        <f>GoogleDistance!E120</f>
        <v>8.6</v>
      </c>
      <c r="H121" t="str">
        <f t="shared" si="9"/>
        <v>update x set distance = 8.6 from storecompetitorstorexref x where storecompetitorstorexref = 257</v>
      </c>
      <c r="U121">
        <f>Table1[[#This Row],[StoreCompetitorStoreXRef]]</f>
        <v>257</v>
      </c>
      <c r="V121" t="str">
        <f t="shared" si="10"/>
        <v>30.1593770000000000</v>
      </c>
      <c r="W121" t="str">
        <f t="shared" si="11"/>
        <v>-95.9114680000000000</v>
      </c>
      <c r="X121" t="str">
        <f t="shared" si="12"/>
        <v>30.0644580000000000</v>
      </c>
      <c r="Y121" t="str">
        <f t="shared" si="13"/>
        <v>-95.9077447000000000</v>
      </c>
      <c r="AA121">
        <f t="shared" si="14"/>
        <v>3.133045624343052</v>
      </c>
      <c r="AC121" s="14" t="str">
        <f t="shared" si="8"/>
        <v>N</v>
      </c>
      <c r="AD121" t="str">
        <f t="shared" si="15"/>
        <v>update x set bearing = 'N' from storecompetitorstorexref x where storecompetitorstorexref = 257</v>
      </c>
    </row>
    <row r="122" spans="1:30" x14ac:dyDescent="0.25">
      <c r="A122">
        <v>361</v>
      </c>
      <c r="B122" t="s">
        <v>216</v>
      </c>
      <c r="C122" t="s">
        <v>191</v>
      </c>
      <c r="D122" t="s">
        <v>217</v>
      </c>
      <c r="E122" t="s">
        <v>192</v>
      </c>
      <c r="F122" s="3">
        <f>GoogleDistance!E121</f>
        <v>53.6</v>
      </c>
      <c r="H122" t="str">
        <f t="shared" si="9"/>
        <v>update x set distance = 53.6 from storecompetitorstorexref x where storecompetitorstorexref = 361</v>
      </c>
      <c r="U122">
        <f>Table1[[#This Row],[StoreCompetitorStoreXRef]]</f>
        <v>361</v>
      </c>
      <c r="V122" t="str">
        <f t="shared" si="10"/>
        <v>30.1593770000000000</v>
      </c>
      <c r="W122" t="str">
        <f t="shared" si="11"/>
        <v>-95.9114680000000000</v>
      </c>
      <c r="X122" t="str">
        <f t="shared" si="12"/>
        <v>29.5411828000000000</v>
      </c>
      <c r="Y122" t="str">
        <f t="shared" si="13"/>
        <v>-95.7093482000000000</v>
      </c>
      <c r="AA122">
        <f t="shared" si="14"/>
        <v>-3.0372598978094238</v>
      </c>
      <c r="AC122" s="14" t="str">
        <f t="shared" si="8"/>
        <v>N</v>
      </c>
      <c r="AD122" t="str">
        <f t="shared" si="15"/>
        <v>update x set bearing = 'N' from storecompetitorstorexref x where storecompetitorstorexref = 361</v>
      </c>
    </row>
    <row r="123" spans="1:30" x14ac:dyDescent="0.25">
      <c r="A123">
        <v>308</v>
      </c>
      <c r="B123" t="s">
        <v>216</v>
      </c>
      <c r="C123" t="s">
        <v>104</v>
      </c>
      <c r="D123" t="s">
        <v>217</v>
      </c>
      <c r="E123" t="s">
        <v>105</v>
      </c>
      <c r="F123" s="3">
        <f>GoogleDistance!E122</f>
        <v>17.100000000000001</v>
      </c>
      <c r="H123" t="str">
        <f t="shared" si="9"/>
        <v>update x set distance = 17.1 from storecompetitorstorexref x where storecompetitorstorexref = 308</v>
      </c>
      <c r="U123">
        <f>Table1[[#This Row],[StoreCompetitorStoreXRef]]</f>
        <v>308</v>
      </c>
      <c r="V123" t="str">
        <f t="shared" si="10"/>
        <v>30.1593770000000000</v>
      </c>
      <c r="W123" t="str">
        <f t="shared" si="11"/>
        <v>-95.9114680000000000</v>
      </c>
      <c r="X123" t="str">
        <f t="shared" si="12"/>
        <v>30.1229760000000000</v>
      </c>
      <c r="Y123" t="str">
        <f t="shared" si="13"/>
        <v>-96.1504735000000000</v>
      </c>
      <c r="AA123">
        <f t="shared" si="14"/>
        <v>-2.1643140600506277</v>
      </c>
      <c r="AC123" s="14" t="str">
        <f t="shared" si="8"/>
        <v>N</v>
      </c>
      <c r="AD123" t="str">
        <f t="shared" si="15"/>
        <v>update x set bearing = 'N' from storecompetitorstorexref x where storecompetitorstorexref = 308</v>
      </c>
    </row>
    <row r="124" spans="1:30" x14ac:dyDescent="0.25">
      <c r="A124">
        <v>359</v>
      </c>
      <c r="B124" t="s">
        <v>216</v>
      </c>
      <c r="C124" t="s">
        <v>21</v>
      </c>
      <c r="D124" t="s">
        <v>217</v>
      </c>
      <c r="E124" t="s">
        <v>193</v>
      </c>
      <c r="F124" s="3">
        <f>GoogleDistance!E123</f>
        <v>19.399999999999999</v>
      </c>
      <c r="H124" t="str">
        <f t="shared" si="9"/>
        <v>update x set distance = 19.4 from storecompetitorstorexref x where storecompetitorstorexref = 359</v>
      </c>
      <c r="U124">
        <f>Table1[[#This Row],[StoreCompetitorStoreXRef]]</f>
        <v>359</v>
      </c>
      <c r="V124" t="str">
        <f t="shared" si="10"/>
        <v>30.1593770000000000</v>
      </c>
      <c r="W124" t="str">
        <f t="shared" si="11"/>
        <v>-95.9114680000000000</v>
      </c>
      <c r="X124" t="str">
        <f t="shared" si="12"/>
        <v>29.9894774000000000</v>
      </c>
      <c r="Y124" t="str">
        <f t="shared" si="13"/>
        <v>-95.7396155000000000</v>
      </c>
      <c r="AA124">
        <f t="shared" si="14"/>
        <v>2.9988009173585155</v>
      </c>
      <c r="AC124" s="14" t="str">
        <f t="shared" si="8"/>
        <v>N</v>
      </c>
      <c r="AD124" t="str">
        <f t="shared" si="15"/>
        <v>update x set bearing = 'N' from storecompetitorstorexref x where storecompetitorstorexref = 359</v>
      </c>
    </row>
    <row r="125" spans="1:30" x14ac:dyDescent="0.25">
      <c r="A125">
        <v>393</v>
      </c>
      <c r="B125" t="s">
        <v>216</v>
      </c>
      <c r="C125" t="s">
        <v>222</v>
      </c>
      <c r="D125" t="s">
        <v>217</v>
      </c>
      <c r="E125" t="s">
        <v>223</v>
      </c>
      <c r="F125" s="3">
        <f>GoogleDistance!E124</f>
        <v>32.299999999999997</v>
      </c>
      <c r="H125" t="str">
        <f t="shared" si="9"/>
        <v>update x set distance = 32.3 from storecompetitorstorexref x where storecompetitorstorexref = 393</v>
      </c>
      <c r="U125">
        <f>Table1[[#This Row],[StoreCompetitorStoreXRef]]</f>
        <v>393</v>
      </c>
      <c r="V125" t="str">
        <f t="shared" si="10"/>
        <v>30.1593770000000000</v>
      </c>
      <c r="W125" t="str">
        <f t="shared" si="11"/>
        <v>-95.9114680000000000</v>
      </c>
      <c r="X125" t="str">
        <f t="shared" si="12"/>
        <v>30.1405836000000000</v>
      </c>
      <c r="Y125" t="str">
        <f t="shared" si="13"/>
        <v>-96.3965285000000000</v>
      </c>
      <c r="AA125">
        <f t="shared" si="14"/>
        <v>-1.9284307429222618</v>
      </c>
      <c r="AC125" s="14" t="str">
        <f t="shared" si="8"/>
        <v>N</v>
      </c>
      <c r="AD125" t="str">
        <f t="shared" si="15"/>
        <v>update x set bearing = 'N' from storecompetitorstorexref x where storecompetitorstorexref = 393</v>
      </c>
    </row>
    <row r="126" spans="1:30" hidden="1" x14ac:dyDescent="0.25">
      <c r="A126">
        <v>269</v>
      </c>
      <c r="B126" t="s">
        <v>224</v>
      </c>
      <c r="C126" t="s">
        <v>128</v>
      </c>
      <c r="D126" t="s">
        <v>226</v>
      </c>
      <c r="E126" t="s">
        <v>129</v>
      </c>
      <c r="F126" s="3">
        <f>GoogleDistance!E125</f>
        <v>4.2</v>
      </c>
      <c r="H126" t="str">
        <f t="shared" si="9"/>
        <v>update x set distance = 4.2 from storecompetitorstorexref x where storecompetitorstorexref = 269</v>
      </c>
      <c r="U126">
        <f>Table1[[#This Row],[StoreCompetitorStoreXRef]]</f>
        <v>269</v>
      </c>
      <c r="V126" t="str">
        <f t="shared" si="10"/>
        <v>29.4292547000000000</v>
      </c>
      <c r="W126" t="str">
        <f t="shared" si="11"/>
        <v>-95.0650070000000000</v>
      </c>
      <c r="X126" t="str">
        <f t="shared" si="12"/>
        <v>29.4683853000000000</v>
      </c>
      <c r="Y126" t="str">
        <f t="shared" si="13"/>
        <v>-95.0899636000000000</v>
      </c>
      <c r="AA126">
        <f t="shared" si="14"/>
        <v>0.2299057621460493</v>
      </c>
      <c r="AC126" s="14" t="str">
        <f t="shared" si="8"/>
        <v>N</v>
      </c>
      <c r="AD126" t="str">
        <f t="shared" si="15"/>
        <v>update x set bearing = 'N' from storecompetitorstorexref x where storecompetitorstorexref = 269</v>
      </c>
    </row>
    <row r="127" spans="1:30" hidden="1" x14ac:dyDescent="0.25">
      <c r="A127">
        <v>268</v>
      </c>
      <c r="B127" t="s">
        <v>224</v>
      </c>
      <c r="C127" t="s">
        <v>225</v>
      </c>
      <c r="D127" t="s">
        <v>226</v>
      </c>
      <c r="E127" t="s">
        <v>227</v>
      </c>
      <c r="F127" s="3">
        <f>GoogleDistance!E126</f>
        <v>2.6</v>
      </c>
      <c r="H127" t="str">
        <f t="shared" si="9"/>
        <v>update x set distance = 2.6 from storecompetitorstorexref x where storecompetitorstorexref = 268</v>
      </c>
      <c r="U127">
        <f>Table1[[#This Row],[StoreCompetitorStoreXRef]]</f>
        <v>268</v>
      </c>
      <c r="V127" t="str">
        <f t="shared" si="10"/>
        <v>29.4292547000000000</v>
      </c>
      <c r="W127" t="str">
        <f t="shared" si="11"/>
        <v>-95.0650070000000000</v>
      </c>
      <c r="X127" t="str">
        <f t="shared" si="12"/>
        <v>29.4042255000000000</v>
      </c>
      <c r="Y127" t="str">
        <f t="shared" si="13"/>
        <v>-95.0384951000000000</v>
      </c>
      <c r="AA127">
        <f t="shared" si="14"/>
        <v>-2.7149827275895766</v>
      </c>
      <c r="AC127" s="14" t="str">
        <f t="shared" si="8"/>
        <v>N</v>
      </c>
      <c r="AD127" t="str">
        <f t="shared" si="15"/>
        <v>update x set bearing = 'N' from storecompetitorstorexref x where storecompetitorstorexref = 268</v>
      </c>
    </row>
    <row r="128" spans="1:30" s="15" customFormat="1" x14ac:dyDescent="0.25">
      <c r="A128" s="15">
        <v>391</v>
      </c>
      <c r="B128" s="15" t="s">
        <v>224</v>
      </c>
      <c r="C128" s="15" t="s">
        <v>228</v>
      </c>
      <c r="D128" s="15" t="s">
        <v>226</v>
      </c>
      <c r="E128" s="15" t="s">
        <v>229</v>
      </c>
      <c r="F128" s="16">
        <f>GoogleDistance!E127</f>
        <v>19.899999999999999</v>
      </c>
      <c r="H128" s="15" t="str">
        <f t="shared" si="9"/>
        <v>update x set distance = 19.9 from storecompetitorstorexref x where storecompetitorstorexref = 391</v>
      </c>
      <c r="U128" s="15">
        <f>Table1[[#This Row],[StoreCompetitorStoreXRef]]</f>
        <v>391</v>
      </c>
      <c r="V128" s="15" t="str">
        <f t="shared" si="10"/>
        <v>29.4292547000000000</v>
      </c>
      <c r="W128" s="15" t="str">
        <f t="shared" si="11"/>
        <v>-95.0650070000000000</v>
      </c>
      <c r="X128" s="15" t="str">
        <f t="shared" si="12"/>
        <v>29.2631900000000000</v>
      </c>
      <c r="Y128" s="15" t="str">
        <f t="shared" si="13"/>
        <v>-94.8358250000000000</v>
      </c>
      <c r="AA128">
        <f t="shared" si="14"/>
        <v>-2.4543764860699779</v>
      </c>
      <c r="AB128"/>
      <c r="AC128" s="17" t="str">
        <f>GetBearing(AA128, PRECISION)</f>
        <v>N</v>
      </c>
      <c r="AD128" s="15" t="str">
        <f t="shared" si="15"/>
        <v>update x set bearing = 'N' from storecompetitorstorexref x where storecompetitorstorexref = 391</v>
      </c>
    </row>
    <row r="129" spans="1:30" x14ac:dyDescent="0.25">
      <c r="A129">
        <v>392</v>
      </c>
      <c r="B129" t="s">
        <v>224</v>
      </c>
      <c r="C129" t="s">
        <v>230</v>
      </c>
      <c r="D129" t="s">
        <v>226</v>
      </c>
      <c r="E129" t="s">
        <v>231</v>
      </c>
      <c r="F129" s="3">
        <f>GoogleDistance!E128</f>
        <v>18.399999999999999</v>
      </c>
      <c r="H129" t="str">
        <f t="shared" si="9"/>
        <v>update x set distance = 18.4 from storecompetitorstorexref x where storecompetitorstorexref = 392</v>
      </c>
      <c r="U129">
        <f>Table1[[#This Row],[StoreCompetitorStoreXRef]]</f>
        <v>392</v>
      </c>
      <c r="V129" t="str">
        <f t="shared" si="10"/>
        <v>29.4292547000000000</v>
      </c>
      <c r="W129" t="str">
        <f t="shared" si="11"/>
        <v>-95.0650070000000000</v>
      </c>
      <c r="X129" t="str">
        <f t="shared" si="12"/>
        <v>29.6306010000000000</v>
      </c>
      <c r="Y129" t="str">
        <f t="shared" si="13"/>
        <v>-95.2368543000000000</v>
      </c>
      <c r="AA129">
        <f t="shared" si="14"/>
        <v>0.17756797172601407</v>
      </c>
      <c r="AC129" s="14" t="str">
        <f t="shared" si="8"/>
        <v>N</v>
      </c>
      <c r="AD129" t="str">
        <f t="shared" si="15"/>
        <v>update x set bearing = 'N' from storecompetitorstorexref x where storecompetitorstorexref = 392</v>
      </c>
    </row>
    <row r="130" spans="1:30" hidden="1" x14ac:dyDescent="0.25">
      <c r="A130">
        <v>327</v>
      </c>
      <c r="B130" t="s">
        <v>232</v>
      </c>
      <c r="C130" t="s">
        <v>236</v>
      </c>
      <c r="D130" t="s">
        <v>234</v>
      </c>
      <c r="E130" t="s">
        <v>237</v>
      </c>
      <c r="F130" s="3">
        <f>GoogleDistance!E129</f>
        <v>2.9</v>
      </c>
      <c r="H130" t="str">
        <f t="shared" si="9"/>
        <v>update x set distance = 2.9 from storecompetitorstorexref x where storecompetitorstorexref = 327</v>
      </c>
      <c r="U130">
        <f>Table1[[#This Row],[StoreCompetitorStoreXRef]]</f>
        <v>327</v>
      </c>
      <c r="V130" t="str">
        <f t="shared" si="10"/>
        <v>29.8010536000000000</v>
      </c>
      <c r="W130" t="str">
        <f t="shared" si="11"/>
        <v>-95.0020730000000000</v>
      </c>
      <c r="X130" t="str">
        <f t="shared" si="12"/>
        <v>29.7980518000000000</v>
      </c>
      <c r="Y130" t="str">
        <f t="shared" si="13"/>
        <v>-95.0347870000000000</v>
      </c>
      <c r="AA130">
        <f t="shared" si="14"/>
        <v>2.6643431134938487</v>
      </c>
      <c r="AC130" s="14" t="str">
        <f t="shared" si="8"/>
        <v>N</v>
      </c>
      <c r="AD130" t="str">
        <f t="shared" si="15"/>
        <v>update x set bearing = 'N' from storecompetitorstorexref x where storecompetitorstorexref = 327</v>
      </c>
    </row>
    <row r="131" spans="1:30" hidden="1" x14ac:dyDescent="0.25">
      <c r="A131">
        <v>298</v>
      </c>
      <c r="B131" t="s">
        <v>232</v>
      </c>
      <c r="C131" t="s">
        <v>233</v>
      </c>
      <c r="D131" t="s">
        <v>234</v>
      </c>
      <c r="E131" t="s">
        <v>235</v>
      </c>
      <c r="F131" s="3">
        <f>GoogleDistance!E130</f>
        <v>5</v>
      </c>
      <c r="H131" t="str">
        <f t="shared" si="9"/>
        <v>update x set distance = 5 from storecompetitorstorexref x where storecompetitorstorexref = 298</v>
      </c>
      <c r="U131">
        <f>Table1[[#This Row],[StoreCompetitorStoreXRef]]</f>
        <v>298</v>
      </c>
      <c r="V131" t="str">
        <f t="shared" si="10"/>
        <v>29.8010536000000000</v>
      </c>
      <c r="W131" t="str">
        <f t="shared" si="11"/>
        <v>-95.0020730000000000</v>
      </c>
      <c r="X131" t="str">
        <f t="shared" si="12"/>
        <v>29.7955378000000000</v>
      </c>
      <c r="Y131" t="str">
        <f t="shared" si="13"/>
        <v>-95.0355430000000000</v>
      </c>
      <c r="AA131">
        <f t="shared" si="14"/>
        <v>2.8480546835869132</v>
      </c>
      <c r="AC131" s="14" t="str">
        <f t="shared" ref="AC131:AC152" si="16">GetBearing(AA131, PRECISION)</f>
        <v>N</v>
      </c>
      <c r="AD131" t="str">
        <f t="shared" si="15"/>
        <v>update x set bearing = 'N' from storecompetitorstorexref x where storecompetitorstorexref = 298</v>
      </c>
    </row>
    <row r="132" spans="1:30" hidden="1" x14ac:dyDescent="0.25">
      <c r="A132">
        <v>340</v>
      </c>
      <c r="B132" t="s">
        <v>232</v>
      </c>
      <c r="C132" t="s">
        <v>238</v>
      </c>
      <c r="D132" t="s">
        <v>234</v>
      </c>
      <c r="E132" t="s">
        <v>239</v>
      </c>
      <c r="F132" s="3">
        <f>GoogleDistance!E131</f>
        <v>2.8</v>
      </c>
      <c r="H132" t="str">
        <f t="shared" ref="H132:H152" si="17">"update x set distance = " &amp; F132 &amp; " from storecompetitorstorexref x where storecompetitorstorexref = " &amp; A132</f>
        <v>update x set distance = 2.8 from storecompetitorstorexref x where storecompetitorstorexref = 340</v>
      </c>
      <c r="U132">
        <f>Table1[[#This Row],[StoreCompetitorStoreXRef]]</f>
        <v>340</v>
      </c>
      <c r="V132" t="str">
        <f t="shared" ref="V132:V152" si="18">SUBSTITUTE(LEFT(D132, FIND(",", D132)), ",", "")</f>
        <v>29.8010536000000000</v>
      </c>
      <c r="W132" t="str">
        <f t="shared" ref="W132:W152" si="19">SUBSTITUTE(D132,V132 &amp; ",","")</f>
        <v>-95.0020730000000000</v>
      </c>
      <c r="X132" t="str">
        <f t="shared" ref="X132:X152" si="20">SUBSTITUTE(LEFT(E132, FIND(",", E132)), ",", "")</f>
        <v>29.7763578000000000</v>
      </c>
      <c r="Y132" t="str">
        <f t="shared" ref="Y132:Y152" si="21">SUBSTITUTE(E132,X132 &amp; ",","")</f>
        <v>-94.9795931000000000</v>
      </c>
      <c r="AA132">
        <f t="shared" ref="AA132:AA152" si="22">ATAN2(COS(V132)*SIN(X132)-SIN(V132)*COS(X132)*COS(Y132-W132),SIN(Y132-W132)*COS(X132))</f>
        <v>-3.0790768859242683</v>
      </c>
      <c r="AC132" s="14" t="str">
        <f t="shared" si="16"/>
        <v>N</v>
      </c>
      <c r="AD132" t="str">
        <f t="shared" ref="AD132:AD152" si="23">"update x set bearing = '" &amp; AC132 &amp; "' from storecompetitorstorexref x where storecompetitorstorexref = " &amp; U132</f>
        <v>update x set bearing = 'N' from storecompetitorstorexref x where storecompetitorstorexref = 340</v>
      </c>
    </row>
    <row r="133" spans="1:30" x14ac:dyDescent="0.25">
      <c r="A133">
        <v>390</v>
      </c>
      <c r="B133" t="s">
        <v>232</v>
      </c>
      <c r="C133" t="s">
        <v>242</v>
      </c>
      <c r="D133" t="s">
        <v>234</v>
      </c>
      <c r="E133" t="s">
        <v>243</v>
      </c>
      <c r="F133" s="3">
        <f>GoogleDistance!E132</f>
        <v>83</v>
      </c>
      <c r="H133" t="str">
        <f t="shared" si="17"/>
        <v>update x set distance = 83 from storecompetitorstorexref x where storecompetitorstorexref = 390</v>
      </c>
      <c r="U133">
        <f>Table1[[#This Row],[StoreCompetitorStoreXRef]]</f>
        <v>390</v>
      </c>
      <c r="V133" t="str">
        <f t="shared" si="18"/>
        <v>29.8010536000000000</v>
      </c>
      <c r="W133" t="str">
        <f t="shared" si="19"/>
        <v>-95.0020730000000000</v>
      </c>
      <c r="X133" t="str">
        <f t="shared" si="20"/>
        <v>30.0931330000000000</v>
      </c>
      <c r="Y133" t="str">
        <f t="shared" si="21"/>
        <v>-93.7681878000000000</v>
      </c>
      <c r="AA133">
        <f t="shared" si="22"/>
        <v>1.0800852466503705</v>
      </c>
      <c r="AC133" s="14" t="str">
        <f t="shared" si="16"/>
        <v>N</v>
      </c>
      <c r="AD133" t="str">
        <f t="shared" si="23"/>
        <v>update x set bearing = 'N' from storecompetitorstorexref x where storecompetitorstorexref = 390</v>
      </c>
    </row>
    <row r="134" spans="1:30" x14ac:dyDescent="0.25">
      <c r="A134">
        <v>389</v>
      </c>
      <c r="B134" t="s">
        <v>232</v>
      </c>
      <c r="C134" t="s">
        <v>240</v>
      </c>
      <c r="D134" t="s">
        <v>234</v>
      </c>
      <c r="E134" t="s">
        <v>241</v>
      </c>
      <c r="F134" s="3">
        <f>GoogleDistance!E133</f>
        <v>65.3</v>
      </c>
      <c r="H134" t="str">
        <f t="shared" si="17"/>
        <v>update x set distance = 65.3 from storecompetitorstorexref x where storecompetitorstorexref = 389</v>
      </c>
      <c r="U134">
        <f>Table1[[#This Row],[StoreCompetitorStoreXRef]]</f>
        <v>389</v>
      </c>
      <c r="V134" t="str">
        <f t="shared" si="18"/>
        <v>29.8010536000000000</v>
      </c>
      <c r="W134" t="str">
        <f t="shared" si="19"/>
        <v>-95.0020730000000000</v>
      </c>
      <c r="X134" t="str">
        <f t="shared" si="20"/>
        <v>30.1209141000000000</v>
      </c>
      <c r="Y134" t="str">
        <f t="shared" si="21"/>
        <v>-94.1699359000000000</v>
      </c>
      <c r="AA134">
        <f t="shared" si="22"/>
        <v>0.72870675833836152</v>
      </c>
      <c r="AC134" s="14" t="str">
        <f t="shared" si="16"/>
        <v>N</v>
      </c>
      <c r="AD134" t="str">
        <f t="shared" si="23"/>
        <v>update x set bearing = 'N' from storecompetitorstorexref x where storecompetitorstorexref = 389</v>
      </c>
    </row>
    <row r="135" spans="1:30" hidden="1" x14ac:dyDescent="0.25">
      <c r="A135">
        <v>313</v>
      </c>
      <c r="B135" t="s">
        <v>244</v>
      </c>
      <c r="C135" t="s">
        <v>245</v>
      </c>
      <c r="D135" t="s">
        <v>246</v>
      </c>
      <c r="E135" t="s">
        <v>247</v>
      </c>
      <c r="F135" s="3">
        <f>GoogleDistance!E134</f>
        <v>1.9</v>
      </c>
      <c r="H135" t="str">
        <f t="shared" si="17"/>
        <v>update x set distance = 1.9 from storecompetitorstorexref x where storecompetitorstorexref = 313</v>
      </c>
      <c r="U135">
        <f>Table1[[#This Row],[StoreCompetitorStoreXRef]]</f>
        <v>313</v>
      </c>
      <c r="V135" t="str">
        <f t="shared" si="18"/>
        <v>31.1367696000000000</v>
      </c>
      <c r="W135" t="str">
        <f t="shared" si="19"/>
        <v>-97.3316850000000000</v>
      </c>
      <c r="X135" t="str">
        <f t="shared" si="20"/>
        <v>31.1387998000000000</v>
      </c>
      <c r="Y135" t="str">
        <f t="shared" si="21"/>
        <v>-97.3313951000000000</v>
      </c>
      <c r="AA135">
        <f t="shared" si="22"/>
        <v>0.13649244340714001</v>
      </c>
      <c r="AC135" s="14" t="str">
        <f t="shared" si="16"/>
        <v>N</v>
      </c>
      <c r="AD135" t="str">
        <f t="shared" si="23"/>
        <v>update x set bearing = 'N' from storecompetitorstorexref x where storecompetitorstorexref = 313</v>
      </c>
    </row>
    <row r="136" spans="1:30" hidden="1" x14ac:dyDescent="0.25">
      <c r="A136">
        <v>314</v>
      </c>
      <c r="B136" t="s">
        <v>244</v>
      </c>
      <c r="C136" t="s">
        <v>248</v>
      </c>
      <c r="D136" t="s">
        <v>246</v>
      </c>
      <c r="E136" t="s">
        <v>249</v>
      </c>
      <c r="F136" s="3">
        <f>GoogleDistance!E135</f>
        <v>2.5</v>
      </c>
      <c r="H136" t="str">
        <f t="shared" si="17"/>
        <v>update x set distance = 2.5 from storecompetitorstorexref x where storecompetitorstorexref = 314</v>
      </c>
      <c r="U136">
        <f>Table1[[#This Row],[StoreCompetitorStoreXRef]]</f>
        <v>314</v>
      </c>
      <c r="V136" t="str">
        <f t="shared" si="18"/>
        <v>31.1367696000000000</v>
      </c>
      <c r="W136" t="str">
        <f t="shared" si="19"/>
        <v>-97.3316850000000000</v>
      </c>
      <c r="X136" t="str">
        <f t="shared" si="20"/>
        <v>31.1429319000000000</v>
      </c>
      <c r="Y136" t="str">
        <f t="shared" si="21"/>
        <v>-97.3288314000000000</v>
      </c>
      <c r="AA136">
        <f t="shared" si="22"/>
        <v>0.41952723884270682</v>
      </c>
      <c r="AC136" s="14" t="str">
        <f t="shared" si="16"/>
        <v>N</v>
      </c>
      <c r="AD136" t="str">
        <f t="shared" si="23"/>
        <v>update x set bearing = 'N' from storecompetitorstorexref x where storecompetitorstorexref = 314</v>
      </c>
    </row>
    <row r="137" spans="1:30" x14ac:dyDescent="0.25">
      <c r="A137">
        <v>338</v>
      </c>
      <c r="B137" t="s">
        <v>244</v>
      </c>
      <c r="C137" t="s">
        <v>250</v>
      </c>
      <c r="D137" t="s">
        <v>246</v>
      </c>
      <c r="E137" t="s">
        <v>251</v>
      </c>
      <c r="F137" s="3">
        <f>GoogleDistance!E136</f>
        <v>12.1</v>
      </c>
      <c r="H137" t="str">
        <f t="shared" si="17"/>
        <v>update x set distance = 12.1 from storecompetitorstorexref x where storecompetitorstorexref = 338</v>
      </c>
      <c r="U137">
        <f>Table1[[#This Row],[StoreCompetitorStoreXRef]]</f>
        <v>338</v>
      </c>
      <c r="V137" t="str">
        <f t="shared" si="18"/>
        <v>31.1367696000000000</v>
      </c>
      <c r="W137" t="str">
        <f t="shared" si="19"/>
        <v>-97.3316850000000000</v>
      </c>
      <c r="X137" t="str">
        <f t="shared" si="20"/>
        <v>31.0825363000000000</v>
      </c>
      <c r="Y137" t="str">
        <f t="shared" si="21"/>
        <v>-97.4610988000000000</v>
      </c>
      <c r="AA137">
        <f t="shared" si="22"/>
        <v>-2.0038853436925703</v>
      </c>
      <c r="AC137" s="14" t="str">
        <f t="shared" si="16"/>
        <v>N</v>
      </c>
      <c r="AD137" t="str">
        <f t="shared" si="23"/>
        <v>update x set bearing = 'N' from storecompetitorstorexref x where storecompetitorstorexref = 338</v>
      </c>
    </row>
    <row r="138" spans="1:30" hidden="1" x14ac:dyDescent="0.25">
      <c r="A138">
        <v>353</v>
      </c>
      <c r="B138" t="s">
        <v>244</v>
      </c>
      <c r="C138" t="s">
        <v>252</v>
      </c>
      <c r="D138" t="s">
        <v>246</v>
      </c>
      <c r="E138" t="s">
        <v>253</v>
      </c>
      <c r="F138" s="3">
        <f>GoogleDistance!E137</f>
        <v>6.4</v>
      </c>
      <c r="H138" t="str">
        <f t="shared" si="17"/>
        <v>update x set distance = 6.4 from storecompetitorstorexref x where storecompetitorstorexref = 353</v>
      </c>
      <c r="U138">
        <f>Table1[[#This Row],[StoreCompetitorStoreXRef]]</f>
        <v>353</v>
      </c>
      <c r="V138" t="str">
        <f t="shared" si="18"/>
        <v>31.1367696000000000</v>
      </c>
      <c r="W138" t="str">
        <f t="shared" si="19"/>
        <v>-97.3316850000000000</v>
      </c>
      <c r="X138" t="str">
        <f t="shared" si="20"/>
        <v>31.1160570000000000</v>
      </c>
      <c r="Y138" t="str">
        <f t="shared" si="21"/>
        <v>-97.4135852000000000</v>
      </c>
      <c r="AA138">
        <f t="shared" si="22"/>
        <v>-1.840352562414624</v>
      </c>
      <c r="AC138" s="14" t="str">
        <f t="shared" si="16"/>
        <v>N</v>
      </c>
      <c r="AD138" t="str">
        <f t="shared" si="23"/>
        <v>update x set bearing = 'N' from storecompetitorstorexref x where storecompetitorstorexref = 353</v>
      </c>
    </row>
    <row r="139" spans="1:30" x14ac:dyDescent="0.25">
      <c r="A139">
        <v>388</v>
      </c>
      <c r="B139" t="s">
        <v>244</v>
      </c>
      <c r="C139" t="s">
        <v>214</v>
      </c>
      <c r="D139" t="s">
        <v>246</v>
      </c>
      <c r="E139" t="s">
        <v>215</v>
      </c>
      <c r="F139" s="3">
        <f>GoogleDistance!E138</f>
        <v>42.5</v>
      </c>
      <c r="H139" t="str">
        <f t="shared" si="17"/>
        <v>update x set distance = 42.5 from storecompetitorstorexref x where storecompetitorstorexref = 388</v>
      </c>
      <c r="U139">
        <f>Table1[[#This Row],[StoreCompetitorStoreXRef]]</f>
        <v>388</v>
      </c>
      <c r="V139" t="str">
        <f t="shared" si="18"/>
        <v>31.1367696000000000</v>
      </c>
      <c r="W139" t="str">
        <f t="shared" si="19"/>
        <v>-97.3316850000000000</v>
      </c>
      <c r="X139" t="str">
        <f t="shared" si="20"/>
        <v>30.6449516000000000</v>
      </c>
      <c r="Y139" t="str">
        <f t="shared" si="21"/>
        <v>-97.6914371000000000</v>
      </c>
      <c r="AA139">
        <f t="shared" si="22"/>
        <v>-2.6614925502126505</v>
      </c>
      <c r="AC139" s="14" t="str">
        <f t="shared" si="16"/>
        <v>N</v>
      </c>
      <c r="AD139" t="str">
        <f t="shared" si="23"/>
        <v>update x set bearing = 'N' from storecompetitorstorexref x where storecompetitorstorexref = 388</v>
      </c>
    </row>
    <row r="140" spans="1:30" hidden="1" x14ac:dyDescent="0.25">
      <c r="A140">
        <v>317</v>
      </c>
      <c r="B140" t="s">
        <v>254</v>
      </c>
      <c r="C140" t="s">
        <v>255</v>
      </c>
      <c r="D140" t="s">
        <v>256</v>
      </c>
      <c r="E140" t="s">
        <v>257</v>
      </c>
      <c r="F140" s="3">
        <f>GoogleDistance!E139</f>
        <v>4.7</v>
      </c>
      <c r="H140" t="str">
        <f t="shared" si="17"/>
        <v>update x set distance = 4.7 from storecompetitorstorexref x where storecompetitorstorexref = 317</v>
      </c>
      <c r="U140">
        <f>Table1[[#This Row],[StoreCompetitorStoreXRef]]</f>
        <v>317</v>
      </c>
      <c r="V140" t="str">
        <f t="shared" si="18"/>
        <v>32.7165620000000000</v>
      </c>
      <c r="W140" t="str">
        <f t="shared" si="19"/>
        <v>-96.3232060000000000</v>
      </c>
      <c r="X140" t="str">
        <f t="shared" si="20"/>
        <v>32.7038990000000000</v>
      </c>
      <c r="Y140" t="str">
        <f t="shared" si="21"/>
        <v>-96.2769057000000000</v>
      </c>
      <c r="AA140">
        <f t="shared" si="22"/>
        <v>2.3347711719445128</v>
      </c>
      <c r="AC140" s="14" t="str">
        <f t="shared" si="16"/>
        <v>N</v>
      </c>
      <c r="AD140" t="str">
        <f t="shared" si="23"/>
        <v>update x set bearing = 'N' from storecompetitorstorexref x where storecompetitorstorexref = 317</v>
      </c>
    </row>
    <row r="141" spans="1:30" hidden="1" x14ac:dyDescent="0.25">
      <c r="A141">
        <v>339</v>
      </c>
      <c r="B141" t="s">
        <v>254</v>
      </c>
      <c r="C141" t="s">
        <v>259</v>
      </c>
      <c r="D141" t="s">
        <v>256</v>
      </c>
      <c r="E141" t="s">
        <v>260</v>
      </c>
      <c r="F141" s="3">
        <f>GoogleDistance!E140</f>
        <v>2.5</v>
      </c>
      <c r="H141" t="str">
        <f t="shared" si="17"/>
        <v>update x set distance = 2.5 from storecompetitorstorexref x where storecompetitorstorexref = 339</v>
      </c>
      <c r="U141">
        <f>Table1[[#This Row],[StoreCompetitorStoreXRef]]</f>
        <v>339</v>
      </c>
      <c r="V141" t="str">
        <f t="shared" si="18"/>
        <v>32.7165620000000000</v>
      </c>
      <c r="W141" t="str">
        <f t="shared" si="19"/>
        <v>-96.3232060000000000</v>
      </c>
      <c r="X141" t="str">
        <f t="shared" si="20"/>
        <v>32.7388691000000000</v>
      </c>
      <c r="Y141" t="str">
        <f t="shared" si="21"/>
        <v>-96.3063683000000000</v>
      </c>
      <c r="AA141">
        <f t="shared" si="22"/>
        <v>0.18283755233583399</v>
      </c>
      <c r="AC141" s="14" t="str">
        <f t="shared" si="16"/>
        <v>N</v>
      </c>
      <c r="AD141" t="str">
        <f t="shared" si="23"/>
        <v>update x set bearing = 'N' from storecompetitorstorexref x where storecompetitorstorexref = 339</v>
      </c>
    </row>
    <row r="142" spans="1:30" hidden="1" x14ac:dyDescent="0.25">
      <c r="A142">
        <v>321</v>
      </c>
      <c r="B142" t="s">
        <v>254</v>
      </c>
      <c r="C142" t="s">
        <v>248</v>
      </c>
      <c r="D142" t="s">
        <v>256</v>
      </c>
      <c r="E142" t="s">
        <v>258</v>
      </c>
      <c r="F142" s="3">
        <f>GoogleDistance!E141</f>
        <v>3.4</v>
      </c>
      <c r="H142" t="str">
        <f t="shared" si="17"/>
        <v>update x set distance = 3.4 from storecompetitorstorexref x where storecompetitorstorexref = 321</v>
      </c>
      <c r="U142">
        <f>Table1[[#This Row],[StoreCompetitorStoreXRef]]</f>
        <v>321</v>
      </c>
      <c r="V142" t="str">
        <f t="shared" si="18"/>
        <v>32.7165620000000000</v>
      </c>
      <c r="W142" t="str">
        <f t="shared" si="19"/>
        <v>-96.3232060000000000</v>
      </c>
      <c r="X142" t="str">
        <f t="shared" si="20"/>
        <v>32.6995413000000000</v>
      </c>
      <c r="Y142" t="str">
        <f t="shared" si="21"/>
        <v>-96.2763062000000000</v>
      </c>
      <c r="AA142">
        <f t="shared" si="22"/>
        <v>2.4703720129252256</v>
      </c>
      <c r="AC142" s="14" t="str">
        <f t="shared" si="16"/>
        <v>N</v>
      </c>
      <c r="AD142" t="str">
        <f t="shared" si="23"/>
        <v>update x set bearing = 'N' from storecompetitorstorexref x where storecompetitorstorexref = 321</v>
      </c>
    </row>
    <row r="143" spans="1:30" hidden="1" x14ac:dyDescent="0.25">
      <c r="A143">
        <v>381</v>
      </c>
      <c r="B143" t="s">
        <v>254</v>
      </c>
      <c r="C143" t="s">
        <v>199</v>
      </c>
      <c r="D143" t="s">
        <v>256</v>
      </c>
      <c r="E143" t="s">
        <v>261</v>
      </c>
      <c r="F143" s="3">
        <f>GoogleDistance!E142</f>
        <v>3.5</v>
      </c>
      <c r="H143" t="str">
        <f t="shared" si="17"/>
        <v>update x set distance = 3.5 from storecompetitorstorexref x where storecompetitorstorexref = 381</v>
      </c>
      <c r="U143">
        <f>Table1[[#This Row],[StoreCompetitorStoreXRef]]</f>
        <v>381</v>
      </c>
      <c r="V143" t="str">
        <f t="shared" si="18"/>
        <v>32.7165620000000000</v>
      </c>
      <c r="W143" t="str">
        <f t="shared" si="19"/>
        <v>-96.3232060000000000</v>
      </c>
      <c r="X143" t="str">
        <f t="shared" si="20"/>
        <v>32.7001257000000000</v>
      </c>
      <c r="Y143" t="str">
        <f t="shared" si="21"/>
        <v>-96.2786498000000000</v>
      </c>
      <c r="AA143">
        <f t="shared" si="22"/>
        <v>2.4798367398882295</v>
      </c>
      <c r="AC143" s="14" t="str">
        <f t="shared" si="16"/>
        <v>N</v>
      </c>
      <c r="AD143" t="str">
        <f t="shared" si="23"/>
        <v>update x set bearing = 'N' from storecompetitorstorexref x where storecompetitorstorexref = 381</v>
      </c>
    </row>
    <row r="144" spans="1:30" hidden="1" x14ac:dyDescent="0.25">
      <c r="A144">
        <v>387</v>
      </c>
      <c r="B144" t="s">
        <v>254</v>
      </c>
      <c r="C144" t="s">
        <v>262</v>
      </c>
      <c r="D144" t="s">
        <v>256</v>
      </c>
      <c r="E144" t="s">
        <v>263</v>
      </c>
      <c r="F144" s="3">
        <f>GoogleDistance!E143</f>
        <v>8.8000000000000007</v>
      </c>
      <c r="H144" t="str">
        <f t="shared" si="17"/>
        <v>update x set distance = 8.8 from storecompetitorstorexref x where storecompetitorstorexref = 387</v>
      </c>
      <c r="U144">
        <f>Table1[[#This Row],[StoreCompetitorStoreXRef]]</f>
        <v>387</v>
      </c>
      <c r="V144" t="str">
        <f t="shared" si="18"/>
        <v>32.7165620000000000</v>
      </c>
      <c r="W144" t="str">
        <f t="shared" si="19"/>
        <v>-96.3232060000000000</v>
      </c>
      <c r="X144" t="str">
        <f t="shared" si="20"/>
        <v>32.7435502000000000</v>
      </c>
      <c r="Y144" t="str">
        <f t="shared" si="21"/>
        <v>-96.4499137000000000</v>
      </c>
      <c r="AA144">
        <f t="shared" si="22"/>
        <v>-0.81208736713249718</v>
      </c>
      <c r="AC144" s="14" t="str">
        <f t="shared" si="16"/>
        <v>N</v>
      </c>
      <c r="AD144" t="str">
        <f t="shared" si="23"/>
        <v>update x set bearing = 'N' from storecompetitorstorexref x where storecompetitorstorexref = 387</v>
      </c>
    </row>
    <row r="145" spans="1:30" hidden="1" x14ac:dyDescent="0.25">
      <c r="A145">
        <v>373</v>
      </c>
      <c r="B145" t="s">
        <v>264</v>
      </c>
      <c r="C145" t="s">
        <v>271</v>
      </c>
      <c r="D145" t="s">
        <v>266</v>
      </c>
      <c r="E145" t="s">
        <v>272</v>
      </c>
      <c r="F145" s="3">
        <f>GoogleDistance!E144</f>
        <v>4</v>
      </c>
      <c r="H145" t="str">
        <f t="shared" si="17"/>
        <v>update x set distance = 4 from storecompetitorstorexref x where storecompetitorstorexref = 373</v>
      </c>
      <c r="U145">
        <f>Table1[[#This Row],[StoreCompetitorStoreXRef]]</f>
        <v>373</v>
      </c>
      <c r="V145" t="str">
        <f t="shared" si="18"/>
        <v>33.0242700000000000</v>
      </c>
      <c r="W145" t="str">
        <f t="shared" si="19"/>
        <v>-97.2783200000000000</v>
      </c>
      <c r="X145" t="str">
        <f t="shared" si="20"/>
        <v>33.0251074000000000</v>
      </c>
      <c r="Y145" t="str">
        <f t="shared" si="21"/>
        <v>-97.2736378000000000</v>
      </c>
      <c r="AA145">
        <f t="shared" si="22"/>
        <v>-0.21146630824832308</v>
      </c>
      <c r="AC145" s="14" t="str">
        <f t="shared" si="16"/>
        <v>N</v>
      </c>
      <c r="AD145" t="str">
        <f t="shared" si="23"/>
        <v>update x set bearing = 'N' from storecompetitorstorexref x where storecompetitorstorexref = 373</v>
      </c>
    </row>
    <row r="146" spans="1:30" hidden="1" x14ac:dyDescent="0.25">
      <c r="A146">
        <v>371</v>
      </c>
      <c r="B146" t="s">
        <v>264</v>
      </c>
      <c r="C146" t="s">
        <v>268</v>
      </c>
      <c r="D146" t="s">
        <v>266</v>
      </c>
      <c r="E146" t="s">
        <v>269</v>
      </c>
      <c r="F146" s="3">
        <f>GoogleDistance!E145</f>
        <v>7.6</v>
      </c>
      <c r="H146" t="str">
        <f t="shared" si="17"/>
        <v>update x set distance = 7.6 from storecompetitorstorexref x where storecompetitorstorexref = 371</v>
      </c>
      <c r="U146">
        <f>Table1[[#This Row],[StoreCompetitorStoreXRef]]</f>
        <v>371</v>
      </c>
      <c r="V146" t="str">
        <f t="shared" si="18"/>
        <v>33.0242700000000000</v>
      </c>
      <c r="W146" t="str">
        <f t="shared" si="19"/>
        <v>-97.2783200000000000</v>
      </c>
      <c r="X146" t="str">
        <f t="shared" si="20"/>
        <v>33.0139980000000000</v>
      </c>
      <c r="Y146" t="str">
        <f t="shared" si="21"/>
        <v>-97.2217412000000000</v>
      </c>
      <c r="AA146">
        <f t="shared" si="22"/>
        <v>-2.9931894940020944</v>
      </c>
      <c r="AC146" s="14" t="str">
        <f t="shared" si="16"/>
        <v>N</v>
      </c>
      <c r="AD146" t="str">
        <f t="shared" si="23"/>
        <v>update x set bearing = 'N' from storecompetitorstorexref x where storecompetitorstorexref = 371</v>
      </c>
    </row>
    <row r="147" spans="1:30" hidden="1" x14ac:dyDescent="0.25">
      <c r="A147">
        <v>370</v>
      </c>
      <c r="B147" t="s">
        <v>264</v>
      </c>
      <c r="C147" t="s">
        <v>265</v>
      </c>
      <c r="D147" t="s">
        <v>266</v>
      </c>
      <c r="E147" t="s">
        <v>267</v>
      </c>
      <c r="F147" s="3">
        <f>GoogleDistance!E146</f>
        <v>6.9</v>
      </c>
      <c r="H147" t="str">
        <f t="shared" si="17"/>
        <v>update x set distance = 6.9 from storecompetitorstorexref x where storecompetitorstorexref = 370</v>
      </c>
      <c r="U147">
        <f>Table1[[#This Row],[StoreCompetitorStoreXRef]]</f>
        <v>370</v>
      </c>
      <c r="V147" t="str">
        <f t="shared" si="18"/>
        <v>33.0242700000000000</v>
      </c>
      <c r="W147" t="str">
        <f t="shared" si="19"/>
        <v>-97.2783200000000000</v>
      </c>
      <c r="X147" t="str">
        <f t="shared" si="20"/>
        <v>33.0256727000000000</v>
      </c>
      <c r="Y147" t="str">
        <f t="shared" si="21"/>
        <v>-97.2745497000000000</v>
      </c>
      <c r="AA147">
        <f t="shared" si="22"/>
        <v>-0.10430680832914052</v>
      </c>
      <c r="AC147" s="14" t="str">
        <f t="shared" si="16"/>
        <v>N</v>
      </c>
      <c r="AD147" t="str">
        <f t="shared" si="23"/>
        <v>update x set bearing = 'N' from storecompetitorstorexref x where storecompetitorstorexref = 370</v>
      </c>
    </row>
    <row r="148" spans="1:30" hidden="1" x14ac:dyDescent="0.25">
      <c r="A148">
        <v>374</v>
      </c>
      <c r="B148" t="s">
        <v>264</v>
      </c>
      <c r="C148" t="s">
        <v>248</v>
      </c>
      <c r="D148" t="s">
        <v>266</v>
      </c>
      <c r="E148" t="s">
        <v>273</v>
      </c>
      <c r="F148" s="3">
        <f>GoogleDistance!E147</f>
        <v>6.7</v>
      </c>
      <c r="H148" t="str">
        <f t="shared" si="17"/>
        <v>update x set distance = 6.7 from storecompetitorstorexref x where storecompetitorstorexref = 374</v>
      </c>
      <c r="U148">
        <f>Table1[[#This Row],[StoreCompetitorStoreXRef]]</f>
        <v>374</v>
      </c>
      <c r="V148" t="str">
        <f t="shared" si="18"/>
        <v>33.0242700000000000</v>
      </c>
      <c r="W148" t="str">
        <f t="shared" si="19"/>
        <v>-97.2783200000000000</v>
      </c>
      <c r="X148" t="str">
        <f t="shared" si="20"/>
        <v>33.0280180000000000</v>
      </c>
      <c r="Y148" t="str">
        <f t="shared" si="21"/>
        <v>-97.2725044000000000</v>
      </c>
      <c r="AA148">
        <f t="shared" si="22"/>
        <v>-6.3981828475736843E-2</v>
      </c>
      <c r="AC148" s="14" t="str">
        <f t="shared" si="16"/>
        <v>N</v>
      </c>
      <c r="AD148" t="str">
        <f t="shared" si="23"/>
        <v>update x set bearing = 'N' from storecompetitorstorexref x where storecompetitorstorexref = 374</v>
      </c>
    </row>
    <row r="149" spans="1:30" hidden="1" x14ac:dyDescent="0.25">
      <c r="A149">
        <v>372</v>
      </c>
      <c r="B149" t="s">
        <v>264</v>
      </c>
      <c r="C149" t="s">
        <v>210</v>
      </c>
      <c r="D149" t="s">
        <v>266</v>
      </c>
      <c r="E149" t="s">
        <v>270</v>
      </c>
      <c r="F149" s="3">
        <f>GoogleDistance!E148</f>
        <v>5.2</v>
      </c>
      <c r="H149" t="str">
        <f t="shared" si="17"/>
        <v>update x set distance = 5.2 from storecompetitorstorexref x where storecompetitorstorexref = 372</v>
      </c>
      <c r="U149">
        <f>Table1[[#This Row],[StoreCompetitorStoreXRef]]</f>
        <v>372</v>
      </c>
      <c r="V149" t="str">
        <f t="shared" si="18"/>
        <v>33.0242700000000000</v>
      </c>
      <c r="W149" t="str">
        <f t="shared" si="19"/>
        <v>-97.2783200000000000</v>
      </c>
      <c r="X149" t="str">
        <f t="shared" si="20"/>
        <v>32.9579489000000000</v>
      </c>
      <c r="Y149" t="str">
        <f t="shared" si="21"/>
        <v>-97.3078648000000000</v>
      </c>
      <c r="AA149">
        <f t="shared" si="22"/>
        <v>-3.1287669047794413</v>
      </c>
      <c r="AC149" s="14" t="str">
        <f t="shared" si="16"/>
        <v>N</v>
      </c>
      <c r="AD149" t="str">
        <f t="shared" si="23"/>
        <v>update x set bearing = 'N' from storecompetitorstorexref x where storecompetitorstorexref = 372</v>
      </c>
    </row>
    <row r="150" spans="1:30" x14ac:dyDescent="0.25">
      <c r="A150">
        <v>384</v>
      </c>
      <c r="B150" t="s">
        <v>264</v>
      </c>
      <c r="C150" t="s">
        <v>274</v>
      </c>
      <c r="D150" t="s">
        <v>266</v>
      </c>
      <c r="E150" t="s">
        <v>275</v>
      </c>
      <c r="F150" s="3">
        <f>GoogleDistance!E149</f>
        <v>22.7</v>
      </c>
      <c r="H150" t="str">
        <f t="shared" si="17"/>
        <v>update x set distance = 22.7 from storecompetitorstorexref x where storecompetitorstorexref = 384</v>
      </c>
      <c r="U150">
        <f>Table1[[#This Row],[StoreCompetitorStoreXRef]]</f>
        <v>384</v>
      </c>
      <c r="V150" t="str">
        <f t="shared" si="18"/>
        <v>33.0242700000000000</v>
      </c>
      <c r="W150" t="str">
        <f t="shared" si="19"/>
        <v>-97.2783200000000000</v>
      </c>
      <c r="X150" t="str">
        <f t="shared" si="20"/>
        <v>33.1929580000000000</v>
      </c>
      <c r="Y150" t="str">
        <f t="shared" si="21"/>
        <v>-97.0961866000000000</v>
      </c>
      <c r="AA150">
        <f t="shared" si="22"/>
        <v>-0.22176134275204684</v>
      </c>
      <c r="AC150" s="14" t="str">
        <f t="shared" si="16"/>
        <v>N</v>
      </c>
      <c r="AD150" t="str">
        <f t="shared" si="23"/>
        <v>update x set bearing = 'N' from storecompetitorstorexref x where storecompetitorstorexref = 384</v>
      </c>
    </row>
    <row r="151" spans="1:30" x14ac:dyDescent="0.25">
      <c r="A151">
        <v>386</v>
      </c>
      <c r="B151" t="s">
        <v>264</v>
      </c>
      <c r="C151" t="s">
        <v>278</v>
      </c>
      <c r="D151" t="s">
        <v>266</v>
      </c>
      <c r="E151" t="s">
        <v>279</v>
      </c>
      <c r="F151" s="3">
        <f>GoogleDistance!E150</f>
        <v>10.9</v>
      </c>
      <c r="H151" t="str">
        <f t="shared" si="17"/>
        <v>update x set distance = 10.9 from storecompetitorstorexref x where storecompetitorstorexref = 386</v>
      </c>
      <c r="U151">
        <f>Table1[[#This Row],[StoreCompetitorStoreXRef]]</f>
        <v>386</v>
      </c>
      <c r="V151" t="str">
        <f t="shared" si="18"/>
        <v>33.0242700000000000</v>
      </c>
      <c r="W151" t="str">
        <f t="shared" si="19"/>
        <v>-97.2783200000000000</v>
      </c>
      <c r="X151" t="str">
        <f t="shared" si="20"/>
        <v>32.8938018000000000</v>
      </c>
      <c r="Y151" t="str">
        <f t="shared" si="21"/>
        <v>-97.2891908000000000</v>
      </c>
      <c r="AA151">
        <f t="shared" si="22"/>
        <v>-3.1338394770542202</v>
      </c>
      <c r="AC151" s="14" t="str">
        <f t="shared" si="16"/>
        <v>N</v>
      </c>
      <c r="AD151" t="str">
        <f t="shared" si="23"/>
        <v>update x set bearing = 'N' from storecompetitorstorexref x where storecompetitorstorexref = 386</v>
      </c>
    </row>
    <row r="152" spans="1:30" x14ac:dyDescent="0.25">
      <c r="A152">
        <v>385</v>
      </c>
      <c r="B152" t="s">
        <v>264</v>
      </c>
      <c r="C152" t="s">
        <v>276</v>
      </c>
      <c r="D152" t="s">
        <v>266</v>
      </c>
      <c r="E152" t="s">
        <v>277</v>
      </c>
      <c r="F152" s="3">
        <f>GoogleDistance!E151</f>
        <v>17.5</v>
      </c>
      <c r="H152" t="str">
        <f t="shared" si="17"/>
        <v>update x set distance = 17.5 from storecompetitorstorexref x where storecompetitorstorexref = 385</v>
      </c>
      <c r="U152">
        <f>Table1[[#This Row],[StoreCompetitorStoreXRef]]</f>
        <v>385</v>
      </c>
      <c r="V152" t="str">
        <f t="shared" si="18"/>
        <v>33.0242700000000000</v>
      </c>
      <c r="W152" t="str">
        <f t="shared" si="19"/>
        <v>-97.2783200000000000</v>
      </c>
      <c r="X152" t="str">
        <f t="shared" si="20"/>
        <v>32.9658063000000000</v>
      </c>
      <c r="Y152" t="str">
        <f t="shared" si="21"/>
        <v>-97.4143779000000000</v>
      </c>
      <c r="AA152">
        <f t="shared" si="22"/>
        <v>-3.0929185850257803</v>
      </c>
      <c r="AC152" s="14" t="str">
        <f t="shared" si="16"/>
        <v>N</v>
      </c>
      <c r="AD152" t="str">
        <f t="shared" si="23"/>
        <v>update x set bearing = 'N' from storecompetitorstorexref x where storecompetitorstorexref = 385</v>
      </c>
    </row>
    <row r="153" spans="1:30" x14ac:dyDescent="0.25">
      <c r="AC153" s="14"/>
    </row>
  </sheetData>
  <mergeCells count="1">
    <mergeCell ref="U1:Y1"/>
  </mergeCells>
  <dataValidations count="1">
    <dataValidation type="list" allowBlank="1" showInputMessage="1" showErrorMessage="1" sqref="R1">
      <formula1>"1,2,3"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153"/>
  <sheetViews>
    <sheetView tabSelected="1" topLeftCell="F1" workbookViewId="0">
      <selection activeCell="W15" sqref="W15"/>
    </sheetView>
  </sheetViews>
  <sheetFormatPr defaultRowHeight="15" x14ac:dyDescent="0.25"/>
  <cols>
    <col min="1" max="1" width="16.140625" customWidth="1"/>
    <col min="2" max="2" width="13.5703125" bestFit="1" customWidth="1"/>
    <col min="3" max="3" width="33.85546875" customWidth="1"/>
    <col min="4" max="4" width="13.7109375" customWidth="1"/>
    <col min="8" max="8" width="18.28515625" bestFit="1" customWidth="1"/>
    <col min="9" max="9" width="12.7109375" customWidth="1"/>
    <col min="10" max="10" width="21.5703125" customWidth="1"/>
    <col min="19" max="19" width="15.85546875" bestFit="1" customWidth="1"/>
    <col min="20" max="20" width="12.7109375" bestFit="1" customWidth="1"/>
  </cols>
  <sheetData>
    <row r="1" spans="1:20" x14ac:dyDescent="0.25">
      <c r="A1" t="s">
        <v>312</v>
      </c>
      <c r="B1" s="24">
        <v>3958.7559999999999</v>
      </c>
      <c r="C1" t="s">
        <v>313</v>
      </c>
      <c r="I1" t="s">
        <v>316</v>
      </c>
      <c r="J1">
        <v>2</v>
      </c>
    </row>
    <row r="2" spans="1:20" x14ac:dyDescent="0.25">
      <c r="A2" s="26" t="s">
        <v>311</v>
      </c>
      <c r="B2" s="26"/>
      <c r="C2" s="26"/>
      <c r="D2" s="26"/>
      <c r="E2" s="26"/>
      <c r="F2" s="26"/>
      <c r="G2" s="26"/>
      <c r="H2" s="26"/>
      <c r="I2" s="26"/>
      <c r="J2" s="26"/>
    </row>
    <row r="3" spans="1:20" ht="39" x14ac:dyDescent="0.25">
      <c r="A3" t="s">
        <v>286</v>
      </c>
      <c r="B3" t="s">
        <v>301</v>
      </c>
      <c r="C3" t="s">
        <v>302</v>
      </c>
      <c r="D3" t="s">
        <v>297</v>
      </c>
      <c r="E3" t="s">
        <v>298</v>
      </c>
      <c r="F3" t="s">
        <v>299</v>
      </c>
      <c r="G3" t="s">
        <v>300</v>
      </c>
      <c r="H3" t="s">
        <v>309</v>
      </c>
      <c r="I3" t="s">
        <v>284</v>
      </c>
      <c r="J3" t="s">
        <v>315</v>
      </c>
      <c r="M3" s="18" t="s">
        <v>303</v>
      </c>
      <c r="N3" s="18" t="s">
        <v>304</v>
      </c>
      <c r="O3" s="18" t="s">
        <v>305</v>
      </c>
      <c r="P3" s="18" t="s">
        <v>306</v>
      </c>
      <c r="Q3" s="18" t="s">
        <v>307</v>
      </c>
      <c r="R3" s="18" t="s">
        <v>308</v>
      </c>
      <c r="S3" s="19" t="s">
        <v>310</v>
      </c>
      <c r="T3" s="19" t="s">
        <v>314</v>
      </c>
    </row>
    <row r="4" spans="1:20" x14ac:dyDescent="0.25">
      <c r="A4" s="23">
        <v>4</v>
      </c>
      <c r="B4" s="23" t="s">
        <v>13</v>
      </c>
      <c r="C4" s="23" t="s">
        <v>14</v>
      </c>
      <c r="D4" s="23">
        <v>29.041305699999899</v>
      </c>
      <c r="E4" s="23">
        <v>-95.413326900000001</v>
      </c>
      <c r="F4" s="23">
        <v>29.045621199999999</v>
      </c>
      <c r="G4" s="23">
        <v>-95.404487500000002</v>
      </c>
      <c r="H4" s="20">
        <f t="shared" ref="H4:H35" si="0">S4</f>
        <v>0.61155738658515357</v>
      </c>
      <c r="I4">
        <f t="shared" ref="I4:I35" si="1">T4</f>
        <v>60.821669655921937</v>
      </c>
      <c r="J4" t="str">
        <f t="shared" ref="J4:J35" si="2">GetBearing(I4,Direction_Precision)</f>
        <v>NE</v>
      </c>
      <c r="M4" s="21">
        <f>RADIANS(D4)</f>
        <v>0.50686640354319479</v>
      </c>
      <c r="N4" s="21">
        <f>RADIANS(F4)</f>
        <v>0.50694172322706643</v>
      </c>
      <c r="O4" s="22">
        <f>N4-M4</f>
        <v>7.5319683871644116E-5</v>
      </c>
      <c r="P4" s="22">
        <f>RADIANS(E4)</f>
        <v>-1.6652767046866745</v>
      </c>
      <c r="Q4" s="22">
        <f>RADIANS(G4)</f>
        <v>-1.6651224280527737</v>
      </c>
      <c r="R4" s="22">
        <f>Q4-P4</f>
        <v>1.5427663390088497E-4</v>
      </c>
      <c r="S4" s="20">
        <f t="shared" ref="S4:S35" si="3">Planet_Radius*(2*ATAN2(SQRT(1-((SIN(RADIANS(F4-D4)/2)^2)+COS(RADIANS(D4))*COS(RADIANS(F4))*(SIN(RADIANS(G4-E4)/2)^2))),SQRT(((SIN(RADIANS(F4-D4)/2)^2)+COS(RADIANS(D4))*COS(RADIANS(F4))*(SIN(RADIANS(G4-E4)/2)^2)))))</f>
        <v>0.61155738658515357</v>
      </c>
      <c r="T4">
        <f>MOD(DEGREES(ATAN2(COS(N4)*SIN(M4)-SIN(N4)*COS(M4)*COS(-R4),SIN(-R4)*COS(M4)))-180,360)</f>
        <v>60.821669655921937</v>
      </c>
    </row>
    <row r="5" spans="1:20" x14ac:dyDescent="0.25">
      <c r="A5" s="23">
        <v>363</v>
      </c>
      <c r="B5" s="23" t="s">
        <v>13</v>
      </c>
      <c r="C5" s="23" t="s">
        <v>19</v>
      </c>
      <c r="D5" s="23">
        <v>29.041305699999899</v>
      </c>
      <c r="E5" s="23">
        <v>-95.413326900000001</v>
      </c>
      <c r="F5" s="23">
        <v>29.040096200000001</v>
      </c>
      <c r="G5" s="23">
        <v>-95.423580700000002</v>
      </c>
      <c r="H5" s="20">
        <f t="shared" si="0"/>
        <v>0.62500898825806894</v>
      </c>
      <c r="I5">
        <f t="shared" si="1"/>
        <v>262.31362475623496</v>
      </c>
      <c r="J5" t="str">
        <f t="shared" si="2"/>
        <v>W</v>
      </c>
      <c r="M5" s="21">
        <f t="shared" ref="M5:M68" si="4">RADIANS(D5)</f>
        <v>0.50686640354319479</v>
      </c>
      <c r="N5" s="21">
        <f t="shared" ref="N5:N68" si="5">RADIANS(F5)</f>
        <v>0.50684529378589371</v>
      </c>
      <c r="O5" s="22">
        <f t="shared" ref="O5:O68" si="6">N5-M5</f>
        <v>-2.1109757301074339E-5</v>
      </c>
      <c r="P5" s="22">
        <f t="shared" ref="P5:P68" si="7">RADIANS(E5)</f>
        <v>-1.6652767046866745</v>
      </c>
      <c r="Q5" s="22">
        <f t="shared" ref="Q5:Q68" si="8">RADIANS(G5)</f>
        <v>-1.6654556672575154</v>
      </c>
      <c r="R5" s="22">
        <f t="shared" ref="R5:R68" si="9">Q5-P5</f>
        <v>-1.7896257084082379E-4</v>
      </c>
      <c r="S5" s="20">
        <f t="shared" si="3"/>
        <v>0.62500898825806894</v>
      </c>
      <c r="T5">
        <f t="shared" ref="T5:T68" si="10">MOD(DEGREES(ATAN2(COS(N5)*SIN(M5)-SIN(N5)*COS(M5)*COS(-R5),SIN(-R5)*COS(M5)))-180,360)</f>
        <v>262.31362475623496</v>
      </c>
    </row>
    <row r="6" spans="1:20" x14ac:dyDescent="0.25">
      <c r="A6" s="23">
        <v>322</v>
      </c>
      <c r="B6" s="23" t="s">
        <v>13</v>
      </c>
      <c r="C6" s="23" t="s">
        <v>17</v>
      </c>
      <c r="D6" s="23">
        <v>29.041305699999899</v>
      </c>
      <c r="E6" s="23">
        <v>-95.413326900000001</v>
      </c>
      <c r="F6" s="23">
        <v>29.0434622</v>
      </c>
      <c r="G6" s="23">
        <v>-95.446926899999994</v>
      </c>
      <c r="H6" s="20">
        <f t="shared" si="0"/>
        <v>2.0350896562163903</v>
      </c>
      <c r="I6">
        <f t="shared" si="1"/>
        <v>274.19053041755211</v>
      </c>
      <c r="J6" t="str">
        <f t="shared" si="2"/>
        <v>W</v>
      </c>
      <c r="M6" s="21">
        <f t="shared" si="4"/>
        <v>0.50686640354319479</v>
      </c>
      <c r="N6" s="21">
        <f t="shared" si="5"/>
        <v>0.50690404156851587</v>
      </c>
      <c r="O6" s="22">
        <f t="shared" si="6"/>
        <v>3.7638025321085067E-5</v>
      </c>
      <c r="P6" s="22">
        <f t="shared" si="7"/>
        <v>-1.6652767046866745</v>
      </c>
      <c r="Q6" s="22">
        <f t="shared" si="8"/>
        <v>-1.6658631353153444</v>
      </c>
      <c r="R6" s="22">
        <f t="shared" si="9"/>
        <v>-5.8643062866980955E-4</v>
      </c>
      <c r="S6" s="20">
        <f t="shared" si="3"/>
        <v>2.0350896562163903</v>
      </c>
      <c r="T6">
        <f t="shared" si="10"/>
        <v>274.19053041755211</v>
      </c>
    </row>
    <row r="7" spans="1:20" x14ac:dyDescent="0.25">
      <c r="A7" s="23">
        <v>364</v>
      </c>
      <c r="B7" s="23" t="s">
        <v>13</v>
      </c>
      <c r="C7" s="23" t="s">
        <v>21</v>
      </c>
      <c r="D7" s="23">
        <v>29.041305699999899</v>
      </c>
      <c r="E7" s="23">
        <v>-95.413326900000001</v>
      </c>
      <c r="F7" s="23">
        <v>29.038103199999998</v>
      </c>
      <c r="G7" s="23">
        <v>-95.422947199999996</v>
      </c>
      <c r="H7" s="20">
        <f t="shared" si="0"/>
        <v>0.62183509732425801</v>
      </c>
      <c r="I7">
        <f t="shared" si="1"/>
        <v>249.15296920595364</v>
      </c>
      <c r="J7" t="str">
        <f t="shared" si="2"/>
        <v>W</v>
      </c>
      <c r="M7" s="21">
        <f t="shared" si="4"/>
        <v>0.50686640354319479</v>
      </c>
      <c r="N7" s="21">
        <f t="shared" si="5"/>
        <v>0.50681050937390149</v>
      </c>
      <c r="O7" s="22">
        <f t="shared" si="6"/>
        <v>-5.5894169293302376E-5</v>
      </c>
      <c r="P7" s="22">
        <f t="shared" si="7"/>
        <v>-1.6652767046866745</v>
      </c>
      <c r="Q7" s="22">
        <f t="shared" si="8"/>
        <v>-1.665444610596704</v>
      </c>
      <c r="R7" s="22">
        <f t="shared" si="9"/>
        <v>-1.6790591002946442E-4</v>
      </c>
      <c r="S7" s="20">
        <f t="shared" si="3"/>
        <v>0.62183509732425801</v>
      </c>
      <c r="T7">
        <f t="shared" si="10"/>
        <v>249.15296920595364</v>
      </c>
    </row>
    <row r="8" spans="1:20" x14ac:dyDescent="0.25">
      <c r="A8" s="23">
        <v>103</v>
      </c>
      <c r="B8" s="23" t="s">
        <v>13</v>
      </c>
      <c r="C8" s="23" t="s">
        <v>15</v>
      </c>
      <c r="D8" s="23">
        <v>29.041305699999899</v>
      </c>
      <c r="E8" s="23">
        <v>-95.413326900000001</v>
      </c>
      <c r="F8" s="23">
        <v>29.045457500000001</v>
      </c>
      <c r="G8" s="23">
        <v>-95.461303000000001</v>
      </c>
      <c r="H8" s="20">
        <f t="shared" si="0"/>
        <v>2.9121596166388395</v>
      </c>
      <c r="I8">
        <f t="shared" si="1"/>
        <v>275.64143027525364</v>
      </c>
      <c r="J8" t="str">
        <f t="shared" si="2"/>
        <v>W</v>
      </c>
      <c r="M8" s="21">
        <f t="shared" si="4"/>
        <v>0.50686640354319479</v>
      </c>
      <c r="N8" s="21">
        <f t="shared" si="5"/>
        <v>0.50693886612308092</v>
      </c>
      <c r="O8" s="22">
        <f t="shared" si="6"/>
        <v>7.2462579886134471E-5</v>
      </c>
      <c r="P8" s="22">
        <f t="shared" si="7"/>
        <v>-1.6652767046866745</v>
      </c>
      <c r="Q8" s="22">
        <f t="shared" si="8"/>
        <v>-1.6661140455939405</v>
      </c>
      <c r="R8" s="22">
        <f t="shared" si="9"/>
        <v>-8.3734090726594879E-4</v>
      </c>
      <c r="S8" s="20">
        <f t="shared" si="3"/>
        <v>2.9121596166388395</v>
      </c>
      <c r="T8">
        <f t="shared" si="10"/>
        <v>275.64143027525364</v>
      </c>
    </row>
    <row r="9" spans="1:20" x14ac:dyDescent="0.25">
      <c r="A9" s="23">
        <v>397</v>
      </c>
      <c r="B9" s="23" t="s">
        <v>23</v>
      </c>
      <c r="C9" s="23" t="s">
        <v>27</v>
      </c>
      <c r="D9" s="23">
        <v>29.064107</v>
      </c>
      <c r="E9" s="23">
        <v>-95.427070999999899</v>
      </c>
      <c r="F9" s="23">
        <v>29.065435999999998</v>
      </c>
      <c r="G9" s="23">
        <v>-95.419390000000007</v>
      </c>
      <c r="H9" s="20">
        <f t="shared" si="0"/>
        <v>0.4728757843987676</v>
      </c>
      <c r="I9">
        <f t="shared" si="1"/>
        <v>78.804791863460707</v>
      </c>
      <c r="J9" t="str">
        <f t="shared" si="2"/>
        <v>E</v>
      </c>
      <c r="M9" s="21">
        <f t="shared" si="4"/>
        <v>0.50726436130193153</v>
      </c>
      <c r="N9" s="21">
        <f t="shared" si="5"/>
        <v>0.50728755672769055</v>
      </c>
      <c r="O9" s="22">
        <f t="shared" si="6"/>
        <v>2.3195425759015009E-5</v>
      </c>
      <c r="P9" s="22">
        <f t="shared" si="7"/>
        <v>-1.665516584484396</v>
      </c>
      <c r="Q9" s="22">
        <f t="shared" si="8"/>
        <v>-1.6653825257445523</v>
      </c>
      <c r="R9" s="22">
        <f t="shared" si="9"/>
        <v>1.3405873984373429E-4</v>
      </c>
      <c r="S9" s="20">
        <f t="shared" si="3"/>
        <v>0.4728757843987676</v>
      </c>
      <c r="T9">
        <f t="shared" si="10"/>
        <v>78.804791863460707</v>
      </c>
    </row>
    <row r="10" spans="1:20" x14ac:dyDescent="0.25">
      <c r="A10" s="23">
        <v>354</v>
      </c>
      <c r="B10" s="23" t="s">
        <v>23</v>
      </c>
      <c r="C10" s="23" t="s">
        <v>14</v>
      </c>
      <c r="D10" s="23">
        <v>29.064107</v>
      </c>
      <c r="E10" s="23">
        <v>-95.427070999999899</v>
      </c>
      <c r="F10" s="23">
        <v>29.045621199999999</v>
      </c>
      <c r="G10" s="23">
        <v>-95.404487500000002</v>
      </c>
      <c r="H10" s="20">
        <f t="shared" si="0"/>
        <v>1.8686530854804642</v>
      </c>
      <c r="I10">
        <f t="shared" si="1"/>
        <v>133.12412096702377</v>
      </c>
      <c r="J10" t="str">
        <f t="shared" si="2"/>
        <v>SE</v>
      </c>
      <c r="M10" s="21">
        <f t="shared" si="4"/>
        <v>0.50726436130193153</v>
      </c>
      <c r="N10" s="21">
        <f t="shared" si="5"/>
        <v>0.50694172322706643</v>
      </c>
      <c r="O10" s="22">
        <f t="shared" si="6"/>
        <v>-3.2263807486510032E-4</v>
      </c>
      <c r="P10" s="22">
        <f t="shared" si="7"/>
        <v>-1.665516584484396</v>
      </c>
      <c r="Q10" s="22">
        <f t="shared" si="8"/>
        <v>-1.6651224280527737</v>
      </c>
      <c r="R10" s="22">
        <f t="shared" si="9"/>
        <v>3.9415643162232783E-4</v>
      </c>
      <c r="S10" s="20">
        <f t="shared" si="3"/>
        <v>1.8686530854804642</v>
      </c>
      <c r="T10">
        <f t="shared" si="10"/>
        <v>133.12412096702377</v>
      </c>
    </row>
    <row r="11" spans="1:20" x14ac:dyDescent="0.25">
      <c r="A11" s="23">
        <v>156</v>
      </c>
      <c r="B11" s="23" t="s">
        <v>23</v>
      </c>
      <c r="C11" s="23" t="s">
        <v>25</v>
      </c>
      <c r="D11" s="23">
        <v>29.064107</v>
      </c>
      <c r="E11" s="23">
        <v>-95.427070999999899</v>
      </c>
      <c r="F11" s="23">
        <v>29.0481102</v>
      </c>
      <c r="G11" s="23">
        <v>-95.465242099999998</v>
      </c>
      <c r="H11" s="20">
        <f t="shared" si="0"/>
        <v>2.5566940994154481</v>
      </c>
      <c r="I11">
        <f t="shared" si="1"/>
        <v>244.37678953153846</v>
      </c>
      <c r="J11" t="str">
        <f t="shared" si="2"/>
        <v>SW</v>
      </c>
      <c r="M11" s="21">
        <f t="shared" si="4"/>
        <v>0.50726436130193153</v>
      </c>
      <c r="N11" s="21">
        <f t="shared" si="5"/>
        <v>0.50698516447214859</v>
      </c>
      <c r="O11" s="22">
        <f t="shared" si="6"/>
        <v>-2.7919682978294613E-4</v>
      </c>
      <c r="P11" s="22">
        <f t="shared" si="7"/>
        <v>-1.665516584484396</v>
      </c>
      <c r="Q11" s="22">
        <f t="shared" si="8"/>
        <v>-1.6661827958585058</v>
      </c>
      <c r="R11" s="22">
        <f t="shared" si="9"/>
        <v>-6.6621137410982634E-4</v>
      </c>
      <c r="S11" s="20">
        <f t="shared" si="3"/>
        <v>2.5566940994154481</v>
      </c>
      <c r="T11">
        <f t="shared" si="10"/>
        <v>244.37678953153846</v>
      </c>
    </row>
    <row r="12" spans="1:20" x14ac:dyDescent="0.25">
      <c r="A12" s="23">
        <v>324</v>
      </c>
      <c r="B12" s="23" t="s">
        <v>23</v>
      </c>
      <c r="C12" s="23" t="s">
        <v>17</v>
      </c>
      <c r="D12" s="23">
        <v>29.064107</v>
      </c>
      <c r="E12" s="23">
        <v>-95.427070999999899</v>
      </c>
      <c r="F12" s="23">
        <v>29.0434622</v>
      </c>
      <c r="G12" s="23">
        <v>-95.446926899999994</v>
      </c>
      <c r="H12" s="20">
        <f t="shared" si="0"/>
        <v>1.8635793646741599</v>
      </c>
      <c r="I12">
        <f t="shared" si="1"/>
        <v>220.05095172982547</v>
      </c>
      <c r="J12" t="str">
        <f t="shared" si="2"/>
        <v>SW</v>
      </c>
      <c r="M12" s="21">
        <f t="shared" si="4"/>
        <v>0.50726436130193153</v>
      </c>
      <c r="N12" s="21">
        <f t="shared" si="5"/>
        <v>0.50690404156851587</v>
      </c>
      <c r="O12" s="22">
        <f t="shared" si="6"/>
        <v>-3.6031973341565937E-4</v>
      </c>
      <c r="P12" s="22">
        <f t="shared" si="7"/>
        <v>-1.665516584484396</v>
      </c>
      <c r="Q12" s="22">
        <f t="shared" si="8"/>
        <v>-1.6658631353153444</v>
      </c>
      <c r="R12" s="22">
        <f t="shared" si="9"/>
        <v>-3.4655083094836669E-4</v>
      </c>
      <c r="S12" s="20">
        <f t="shared" si="3"/>
        <v>1.8635793646741599</v>
      </c>
      <c r="T12">
        <f t="shared" si="10"/>
        <v>220.05095172982547</v>
      </c>
    </row>
    <row r="13" spans="1:20" x14ac:dyDescent="0.25">
      <c r="A13" s="23">
        <v>366</v>
      </c>
      <c r="B13" s="23" t="s">
        <v>23</v>
      </c>
      <c r="C13" s="23" t="s">
        <v>21</v>
      </c>
      <c r="D13" s="23">
        <v>29.064107</v>
      </c>
      <c r="E13" s="23">
        <v>-95.427070999999899</v>
      </c>
      <c r="F13" s="23">
        <v>29.038103199999998</v>
      </c>
      <c r="G13" s="23">
        <v>-95.422947199999996</v>
      </c>
      <c r="H13" s="20">
        <f t="shared" si="0"/>
        <v>1.8138721342295412</v>
      </c>
      <c r="I13">
        <f t="shared" si="1"/>
        <v>172.10825038072957</v>
      </c>
      <c r="J13" t="str">
        <f t="shared" si="2"/>
        <v>S</v>
      </c>
      <c r="M13" s="21">
        <f t="shared" si="4"/>
        <v>0.50726436130193153</v>
      </c>
      <c r="N13" s="21">
        <f t="shared" si="5"/>
        <v>0.50681050937390149</v>
      </c>
      <c r="O13" s="22">
        <f t="shared" si="6"/>
        <v>-4.5385192803004681E-4</v>
      </c>
      <c r="P13" s="22">
        <f t="shared" si="7"/>
        <v>-1.665516584484396</v>
      </c>
      <c r="Q13" s="22">
        <f t="shared" si="8"/>
        <v>-1.665444610596704</v>
      </c>
      <c r="R13" s="22">
        <f t="shared" si="9"/>
        <v>7.1973887691978433E-5</v>
      </c>
      <c r="S13" s="20">
        <f t="shared" si="3"/>
        <v>1.8138721342295412</v>
      </c>
      <c r="T13">
        <f t="shared" si="10"/>
        <v>172.10825038072957</v>
      </c>
    </row>
    <row r="14" spans="1:20" x14ac:dyDescent="0.25">
      <c r="A14" s="23">
        <v>121</v>
      </c>
      <c r="B14" s="23" t="s">
        <v>23</v>
      </c>
      <c r="C14" s="23" t="s">
        <v>15</v>
      </c>
      <c r="D14" s="23">
        <v>29.064107</v>
      </c>
      <c r="E14" s="23">
        <v>-95.427070999999899</v>
      </c>
      <c r="F14" s="23">
        <v>29.045457500000001</v>
      </c>
      <c r="G14" s="23">
        <v>-95.461303000000001</v>
      </c>
      <c r="H14" s="20">
        <f t="shared" si="0"/>
        <v>2.4362189351540016</v>
      </c>
      <c r="I14">
        <f t="shared" si="1"/>
        <v>238.05942367396148</v>
      </c>
      <c r="J14" t="str">
        <f t="shared" si="2"/>
        <v>SW</v>
      </c>
      <c r="M14" s="21">
        <f t="shared" si="4"/>
        <v>0.50726436130193153</v>
      </c>
      <c r="N14" s="21">
        <f t="shared" si="5"/>
        <v>0.50693886612308092</v>
      </c>
      <c r="O14" s="22">
        <f t="shared" si="6"/>
        <v>-3.2549517885060997E-4</v>
      </c>
      <c r="P14" s="22">
        <f t="shared" si="7"/>
        <v>-1.665516584484396</v>
      </c>
      <c r="Q14" s="22">
        <f t="shared" si="8"/>
        <v>-1.6661140455939405</v>
      </c>
      <c r="R14" s="22">
        <f t="shared" si="9"/>
        <v>-5.9746110954450593E-4</v>
      </c>
      <c r="S14" s="20">
        <f t="shared" si="3"/>
        <v>2.4362189351540016</v>
      </c>
      <c r="T14">
        <f t="shared" si="10"/>
        <v>238.05942367396148</v>
      </c>
    </row>
    <row r="15" spans="1:20" x14ac:dyDescent="0.25">
      <c r="A15" s="23">
        <v>107</v>
      </c>
      <c r="B15" s="23" t="s">
        <v>28</v>
      </c>
      <c r="C15" s="23" t="s">
        <v>25</v>
      </c>
      <c r="D15" s="23">
        <v>29.055519</v>
      </c>
      <c r="E15" s="23">
        <v>-95.5724909999999</v>
      </c>
      <c r="F15" s="23">
        <v>29.0481102</v>
      </c>
      <c r="G15" s="23">
        <v>-95.465242099999998</v>
      </c>
      <c r="H15" s="20">
        <f t="shared" si="0"/>
        <v>6.4980349981882641</v>
      </c>
      <c r="I15">
        <f t="shared" si="1"/>
        <v>94.544335659200556</v>
      </c>
      <c r="J15" t="str">
        <f t="shared" si="2"/>
        <v>E</v>
      </c>
      <c r="M15" s="21">
        <f t="shared" si="4"/>
        <v>0.50711447242577035</v>
      </c>
      <c r="N15" s="21">
        <f t="shared" si="5"/>
        <v>0.50698516447214859</v>
      </c>
      <c r="O15" s="22">
        <f t="shared" si="6"/>
        <v>-1.2930795362176006E-4</v>
      </c>
      <c r="P15" s="22">
        <f t="shared" si="7"/>
        <v>-1.6680546422826461</v>
      </c>
      <c r="Q15" s="22">
        <f t="shared" si="8"/>
        <v>-1.6661827958585058</v>
      </c>
      <c r="R15" s="22">
        <f t="shared" si="9"/>
        <v>1.8718464241402888E-3</v>
      </c>
      <c r="S15" s="20">
        <f t="shared" si="3"/>
        <v>6.4980349981882641</v>
      </c>
      <c r="T15">
        <f t="shared" si="10"/>
        <v>94.544335659200556</v>
      </c>
    </row>
    <row r="16" spans="1:20" x14ac:dyDescent="0.25">
      <c r="A16" s="23">
        <v>349</v>
      </c>
      <c r="B16" s="23" t="s">
        <v>28</v>
      </c>
      <c r="C16" s="23" t="s">
        <v>17</v>
      </c>
      <c r="D16" s="23">
        <v>29.055519</v>
      </c>
      <c r="E16" s="23">
        <v>-95.5724909999999</v>
      </c>
      <c r="F16" s="23">
        <v>29.0434622</v>
      </c>
      <c r="G16" s="23">
        <v>-95.446926899999994</v>
      </c>
      <c r="H16" s="20">
        <f t="shared" si="0"/>
        <v>7.6298637296131187</v>
      </c>
      <c r="I16">
        <f t="shared" si="1"/>
        <v>96.298650379961657</v>
      </c>
      <c r="J16" t="str">
        <f t="shared" si="2"/>
        <v>E</v>
      </c>
      <c r="M16" s="21">
        <f t="shared" si="4"/>
        <v>0.50711447242577035</v>
      </c>
      <c r="N16" s="21">
        <f t="shared" si="5"/>
        <v>0.50690404156851587</v>
      </c>
      <c r="O16" s="22">
        <f t="shared" si="6"/>
        <v>-2.104308572544733E-4</v>
      </c>
      <c r="P16" s="22">
        <f t="shared" si="7"/>
        <v>-1.6680546422826461</v>
      </c>
      <c r="Q16" s="22">
        <f t="shared" si="8"/>
        <v>-1.6658631353153444</v>
      </c>
      <c r="R16" s="22">
        <f t="shared" si="9"/>
        <v>2.1915069673017484E-3</v>
      </c>
      <c r="S16" s="20">
        <f t="shared" si="3"/>
        <v>7.6298637296131187</v>
      </c>
      <c r="T16">
        <f t="shared" si="10"/>
        <v>96.298650379961657</v>
      </c>
    </row>
    <row r="17" spans="1:20" x14ac:dyDescent="0.25">
      <c r="A17" s="23">
        <v>106</v>
      </c>
      <c r="B17" s="23" t="s">
        <v>28</v>
      </c>
      <c r="C17" s="23" t="s">
        <v>15</v>
      </c>
      <c r="D17" s="23">
        <v>29.055519</v>
      </c>
      <c r="E17" s="23">
        <v>-95.5724909999999</v>
      </c>
      <c r="F17" s="23">
        <v>29.045457500000001</v>
      </c>
      <c r="G17" s="23">
        <v>-95.461303000000001</v>
      </c>
      <c r="H17" s="20">
        <f t="shared" si="0"/>
        <v>6.7517334073502653</v>
      </c>
      <c r="I17">
        <f t="shared" si="1"/>
        <v>95.936844417914358</v>
      </c>
      <c r="J17" t="str">
        <f t="shared" si="2"/>
        <v>E</v>
      </c>
      <c r="M17" s="21">
        <f t="shared" si="4"/>
        <v>0.50711447242577035</v>
      </c>
      <c r="N17" s="21">
        <f t="shared" si="5"/>
        <v>0.50693886612308092</v>
      </c>
      <c r="O17" s="22">
        <f t="shared" si="6"/>
        <v>-1.756063026894239E-4</v>
      </c>
      <c r="P17" s="22">
        <f t="shared" si="7"/>
        <v>-1.6680546422826461</v>
      </c>
      <c r="Q17" s="22">
        <f t="shared" si="8"/>
        <v>-1.6661140455939405</v>
      </c>
      <c r="R17" s="22">
        <f t="shared" si="9"/>
        <v>1.9405966887056092E-3</v>
      </c>
      <c r="S17" s="20">
        <f t="shared" si="3"/>
        <v>6.7517334073502653</v>
      </c>
      <c r="T17">
        <f t="shared" si="10"/>
        <v>95.936844417914358</v>
      </c>
    </row>
    <row r="18" spans="1:20" x14ac:dyDescent="0.25">
      <c r="A18" s="23">
        <v>27</v>
      </c>
      <c r="B18" s="23" t="s">
        <v>30</v>
      </c>
      <c r="C18" s="23" t="s">
        <v>25</v>
      </c>
      <c r="D18" s="23">
        <v>29.0346809999999</v>
      </c>
      <c r="E18" s="23">
        <v>-95.567526000000001</v>
      </c>
      <c r="F18" s="23">
        <v>29.0481102</v>
      </c>
      <c r="G18" s="23">
        <v>-95.465242099999998</v>
      </c>
      <c r="H18" s="20">
        <f t="shared" si="0"/>
        <v>6.2478610722356818</v>
      </c>
      <c r="I18">
        <f t="shared" si="1"/>
        <v>81.484256441182083</v>
      </c>
      <c r="J18" t="str">
        <f t="shared" si="2"/>
        <v>E</v>
      </c>
      <c r="M18" s="21">
        <f t="shared" si="4"/>
        <v>0.50675078071623803</v>
      </c>
      <c r="N18" s="21">
        <f t="shared" si="5"/>
        <v>0.50698516447214859</v>
      </c>
      <c r="O18" s="22">
        <f t="shared" si="6"/>
        <v>2.3438375591056104E-4</v>
      </c>
      <c r="P18" s="22">
        <f t="shared" si="7"/>
        <v>-1.6679679866852863</v>
      </c>
      <c r="Q18" s="22">
        <f t="shared" si="8"/>
        <v>-1.6661827958585058</v>
      </c>
      <c r="R18" s="22">
        <f t="shared" si="9"/>
        <v>1.785190826780525E-3</v>
      </c>
      <c r="S18" s="20">
        <f t="shared" si="3"/>
        <v>6.2478610722356818</v>
      </c>
      <c r="T18">
        <f t="shared" si="10"/>
        <v>81.484256441182083</v>
      </c>
    </row>
    <row r="19" spans="1:20" x14ac:dyDescent="0.25">
      <c r="A19" s="23">
        <v>350</v>
      </c>
      <c r="B19" s="23" t="s">
        <v>30</v>
      </c>
      <c r="C19" s="23" t="s">
        <v>17</v>
      </c>
      <c r="D19" s="23">
        <v>29.0346809999999</v>
      </c>
      <c r="E19" s="23">
        <v>-95.567526000000001</v>
      </c>
      <c r="F19" s="23">
        <v>29.0434622</v>
      </c>
      <c r="G19" s="23">
        <v>-95.446926899999994</v>
      </c>
      <c r="H19" s="20">
        <f t="shared" si="0"/>
        <v>7.3103142984653324</v>
      </c>
      <c r="I19">
        <f t="shared" si="1"/>
        <v>85.268510457836669</v>
      </c>
      <c r="J19" t="str">
        <f t="shared" si="2"/>
        <v>E</v>
      </c>
      <c r="M19" s="21">
        <f t="shared" si="4"/>
        <v>0.50675078071623803</v>
      </c>
      <c r="N19" s="21">
        <f t="shared" si="5"/>
        <v>0.50690404156851587</v>
      </c>
      <c r="O19" s="22">
        <f t="shared" si="6"/>
        <v>1.532608522778478E-4</v>
      </c>
      <c r="P19" s="22">
        <f t="shared" si="7"/>
        <v>-1.6679679866852863</v>
      </c>
      <c r="Q19" s="22">
        <f t="shared" si="8"/>
        <v>-1.6658631353153444</v>
      </c>
      <c r="R19" s="22">
        <f t="shared" si="9"/>
        <v>2.1048513699419846E-3</v>
      </c>
      <c r="S19" s="20">
        <f t="shared" si="3"/>
        <v>7.3103142984653324</v>
      </c>
      <c r="T19">
        <f t="shared" si="10"/>
        <v>85.268510457836669</v>
      </c>
    </row>
    <row r="20" spans="1:20" x14ac:dyDescent="0.25">
      <c r="A20" s="23">
        <v>26</v>
      </c>
      <c r="B20" s="23" t="s">
        <v>30</v>
      </c>
      <c r="C20" s="23" t="s">
        <v>15</v>
      </c>
      <c r="D20" s="23">
        <v>29.0346809999999</v>
      </c>
      <c r="E20" s="23">
        <v>-95.567526000000001</v>
      </c>
      <c r="F20" s="23">
        <v>29.045457500000001</v>
      </c>
      <c r="G20" s="23">
        <v>-95.461303000000001</v>
      </c>
      <c r="H20" s="20">
        <f t="shared" si="0"/>
        <v>6.4596630010974057</v>
      </c>
      <c r="I20">
        <f t="shared" si="1"/>
        <v>83.406773703730153</v>
      </c>
      <c r="J20" t="str">
        <f t="shared" si="2"/>
        <v>E</v>
      </c>
      <c r="M20" s="21">
        <f t="shared" si="4"/>
        <v>0.50675078071623803</v>
      </c>
      <c r="N20" s="21">
        <f t="shared" si="5"/>
        <v>0.50693886612308092</v>
      </c>
      <c r="O20" s="22">
        <f t="shared" si="6"/>
        <v>1.8808540684289721E-4</v>
      </c>
      <c r="P20" s="22">
        <f t="shared" si="7"/>
        <v>-1.6679679866852863</v>
      </c>
      <c r="Q20" s="22">
        <f t="shared" si="8"/>
        <v>-1.6661140455939405</v>
      </c>
      <c r="R20" s="22">
        <f t="shared" si="9"/>
        <v>1.8539410913458454E-3</v>
      </c>
      <c r="S20" s="20">
        <f t="shared" si="3"/>
        <v>6.4596630010974057</v>
      </c>
      <c r="T20">
        <f t="shared" si="10"/>
        <v>83.406773703730153</v>
      </c>
    </row>
    <row r="21" spans="1:20" x14ac:dyDescent="0.25">
      <c r="A21" s="23">
        <v>332</v>
      </c>
      <c r="B21" s="23" t="s">
        <v>32</v>
      </c>
      <c r="C21" s="23" t="s">
        <v>34</v>
      </c>
      <c r="D21" s="23">
        <v>28.9812087</v>
      </c>
      <c r="E21" s="23">
        <v>-95.3358743</v>
      </c>
      <c r="F21" s="23">
        <v>29.021249999999899</v>
      </c>
      <c r="G21" s="23">
        <v>-95.436858999999899</v>
      </c>
      <c r="H21" s="20">
        <f t="shared" si="0"/>
        <v>6.7003102435512654</v>
      </c>
      <c r="I21">
        <f t="shared" si="1"/>
        <v>294.36291899795276</v>
      </c>
      <c r="J21" t="str">
        <f t="shared" si="2"/>
        <v>NW</v>
      </c>
      <c r="M21" s="21">
        <f t="shared" si="4"/>
        <v>0.50581751302262556</v>
      </c>
      <c r="N21" s="21">
        <f t="shared" si="5"/>
        <v>0.5065163655444026</v>
      </c>
      <c r="O21" s="22">
        <f t="shared" si="6"/>
        <v>6.9885252177703805E-4</v>
      </c>
      <c r="P21" s="22">
        <f t="shared" si="7"/>
        <v>-1.6639249018024442</v>
      </c>
      <c r="Q21" s="22">
        <f t="shared" si="8"/>
        <v>-1.6656874173115812</v>
      </c>
      <c r="R21" s="22">
        <f t="shared" si="9"/>
        <v>-1.7625155091369749E-3</v>
      </c>
      <c r="S21" s="20">
        <f t="shared" si="3"/>
        <v>6.7003102435512654</v>
      </c>
      <c r="T21">
        <f t="shared" si="10"/>
        <v>294.36291899795276</v>
      </c>
    </row>
    <row r="22" spans="1:20" x14ac:dyDescent="0.25">
      <c r="A22" s="23">
        <v>333</v>
      </c>
      <c r="B22" s="23" t="s">
        <v>32</v>
      </c>
      <c r="C22" s="23" t="s">
        <v>17</v>
      </c>
      <c r="D22" s="23">
        <v>28.9812087</v>
      </c>
      <c r="E22" s="23">
        <v>-95.3358743</v>
      </c>
      <c r="F22" s="23">
        <v>29.0434622</v>
      </c>
      <c r="G22" s="23">
        <v>-95.446926899999994</v>
      </c>
      <c r="H22" s="20">
        <f t="shared" si="0"/>
        <v>7.970401457561775</v>
      </c>
      <c r="I22">
        <f t="shared" si="1"/>
        <v>302.6335070339469</v>
      </c>
      <c r="J22" t="str">
        <f t="shared" si="2"/>
        <v>NW</v>
      </c>
      <c r="M22" s="21">
        <f t="shared" si="4"/>
        <v>0.50581751302262556</v>
      </c>
      <c r="N22" s="21">
        <f t="shared" si="5"/>
        <v>0.50690404156851587</v>
      </c>
      <c r="O22" s="22">
        <f t="shared" si="6"/>
        <v>1.0865285458903085E-3</v>
      </c>
      <c r="P22" s="22">
        <f t="shared" si="7"/>
        <v>-1.6639249018024442</v>
      </c>
      <c r="Q22" s="22">
        <f t="shared" si="8"/>
        <v>-1.6658631353153444</v>
      </c>
      <c r="R22" s="22">
        <f t="shared" si="9"/>
        <v>-1.9382335129001227E-3</v>
      </c>
      <c r="S22" s="20">
        <f t="shared" si="3"/>
        <v>7.970401457561775</v>
      </c>
      <c r="T22">
        <f t="shared" si="10"/>
        <v>302.6335070339469</v>
      </c>
    </row>
    <row r="23" spans="1:20" x14ac:dyDescent="0.25">
      <c r="A23" s="23">
        <v>127</v>
      </c>
      <c r="B23" s="23" t="s">
        <v>32</v>
      </c>
      <c r="C23" s="23" t="s">
        <v>15</v>
      </c>
      <c r="D23" s="23">
        <v>28.9812087</v>
      </c>
      <c r="E23" s="23">
        <v>-95.3358743</v>
      </c>
      <c r="F23" s="23">
        <v>29.045457500000001</v>
      </c>
      <c r="G23" s="23">
        <v>-95.461303000000001</v>
      </c>
      <c r="H23" s="20">
        <f t="shared" si="0"/>
        <v>8.7831231607156273</v>
      </c>
      <c r="I23">
        <f t="shared" si="1"/>
        <v>300.32878347270105</v>
      </c>
      <c r="J23" t="str">
        <f t="shared" si="2"/>
        <v>NW</v>
      </c>
      <c r="M23" s="21">
        <f t="shared" si="4"/>
        <v>0.50581751302262556</v>
      </c>
      <c r="N23" s="21">
        <f t="shared" si="5"/>
        <v>0.50693886612308092</v>
      </c>
      <c r="O23" s="22">
        <f t="shared" si="6"/>
        <v>1.1213531004553579E-3</v>
      </c>
      <c r="P23" s="22">
        <f t="shared" si="7"/>
        <v>-1.6639249018024442</v>
      </c>
      <c r="Q23" s="22">
        <f t="shared" si="8"/>
        <v>-1.6661140455939405</v>
      </c>
      <c r="R23" s="22">
        <f t="shared" si="9"/>
        <v>-2.1891437914962619E-3</v>
      </c>
      <c r="S23" s="20">
        <f t="shared" si="3"/>
        <v>8.7831231607156273</v>
      </c>
      <c r="T23">
        <f t="shared" si="10"/>
        <v>300.32878347270105</v>
      </c>
    </row>
    <row r="24" spans="1:20" x14ac:dyDescent="0.25">
      <c r="A24" s="23">
        <v>334</v>
      </c>
      <c r="B24" s="23" t="s">
        <v>36</v>
      </c>
      <c r="C24" s="23" t="s">
        <v>34</v>
      </c>
      <c r="D24" s="23">
        <v>28.96941</v>
      </c>
      <c r="E24" s="23">
        <v>-95.370672999999897</v>
      </c>
      <c r="F24" s="23">
        <v>29.021249999999899</v>
      </c>
      <c r="G24" s="23">
        <v>-95.436858999999899</v>
      </c>
      <c r="H24" s="20">
        <f t="shared" si="0"/>
        <v>5.3691604515082778</v>
      </c>
      <c r="I24">
        <f t="shared" si="1"/>
        <v>311.82803182805674</v>
      </c>
      <c r="J24" t="str">
        <f t="shared" si="2"/>
        <v>NW</v>
      </c>
      <c r="M24" s="21">
        <f t="shared" si="4"/>
        <v>0.50561158686017049</v>
      </c>
      <c r="N24" s="21">
        <f t="shared" si="5"/>
        <v>0.5065163655444026</v>
      </c>
      <c r="O24" s="22">
        <f t="shared" si="6"/>
        <v>9.0477868423211039E-4</v>
      </c>
      <c r="P24" s="22">
        <f t="shared" si="7"/>
        <v>-1.6645322536928562</v>
      </c>
      <c r="Q24" s="22">
        <f t="shared" si="8"/>
        <v>-1.6656874173115812</v>
      </c>
      <c r="R24" s="22">
        <f t="shared" si="9"/>
        <v>-1.1551636187250303E-3</v>
      </c>
      <c r="S24" s="20">
        <f t="shared" si="3"/>
        <v>5.3691604515082778</v>
      </c>
      <c r="T24">
        <f t="shared" si="10"/>
        <v>311.82803182805674</v>
      </c>
    </row>
    <row r="25" spans="1:20" x14ac:dyDescent="0.25">
      <c r="A25" s="23">
        <v>351</v>
      </c>
      <c r="B25" s="23" t="s">
        <v>36</v>
      </c>
      <c r="C25" s="23" t="s">
        <v>17</v>
      </c>
      <c r="D25" s="23">
        <v>28.96941</v>
      </c>
      <c r="E25" s="23">
        <v>-95.370672999999897</v>
      </c>
      <c r="F25" s="23">
        <v>29.0434622</v>
      </c>
      <c r="G25" s="23">
        <v>-95.446926899999994</v>
      </c>
      <c r="H25" s="20">
        <f t="shared" si="0"/>
        <v>6.8855065722765225</v>
      </c>
      <c r="I25">
        <f t="shared" si="1"/>
        <v>317.97633150889476</v>
      </c>
      <c r="J25" t="str">
        <f t="shared" si="2"/>
        <v>NW</v>
      </c>
      <c r="M25" s="21">
        <f t="shared" si="4"/>
        <v>0.50561158686017049</v>
      </c>
      <c r="N25" s="21">
        <f t="shared" si="5"/>
        <v>0.50690404156851587</v>
      </c>
      <c r="O25" s="22">
        <f t="shared" si="6"/>
        <v>1.2924547083453808E-3</v>
      </c>
      <c r="P25" s="22">
        <f t="shared" si="7"/>
        <v>-1.6645322536928562</v>
      </c>
      <c r="Q25" s="22">
        <f t="shared" si="8"/>
        <v>-1.6658631353153444</v>
      </c>
      <c r="R25" s="22">
        <f t="shared" si="9"/>
        <v>-1.3308816224881781E-3</v>
      </c>
      <c r="S25" s="20">
        <f t="shared" si="3"/>
        <v>6.8855065722765225</v>
      </c>
      <c r="T25">
        <f t="shared" si="10"/>
        <v>317.97633150889476</v>
      </c>
    </row>
    <row r="26" spans="1:20" x14ac:dyDescent="0.25">
      <c r="A26" s="23">
        <v>290</v>
      </c>
      <c r="B26" s="23" t="s">
        <v>36</v>
      </c>
      <c r="C26" s="23" t="s">
        <v>15</v>
      </c>
      <c r="D26" s="23">
        <v>28.96941</v>
      </c>
      <c r="E26" s="23">
        <v>-95.370672999999897</v>
      </c>
      <c r="F26" s="23">
        <v>29.045457500000001</v>
      </c>
      <c r="G26" s="23">
        <v>-95.461303000000001</v>
      </c>
      <c r="H26" s="20">
        <f t="shared" si="0"/>
        <v>7.5894354818040641</v>
      </c>
      <c r="I26">
        <f t="shared" si="1"/>
        <v>313.79264557244687</v>
      </c>
      <c r="J26" t="str">
        <f t="shared" si="2"/>
        <v>NW</v>
      </c>
      <c r="M26" s="21">
        <f t="shared" si="4"/>
        <v>0.50561158686017049</v>
      </c>
      <c r="N26" s="21">
        <f t="shared" si="5"/>
        <v>0.50693886612308092</v>
      </c>
      <c r="O26" s="22">
        <f t="shared" si="6"/>
        <v>1.3272792629104302E-3</v>
      </c>
      <c r="P26" s="22">
        <f t="shared" si="7"/>
        <v>-1.6645322536928562</v>
      </c>
      <c r="Q26" s="22">
        <f t="shared" si="8"/>
        <v>-1.6661140455939405</v>
      </c>
      <c r="R26" s="22">
        <f t="shared" si="9"/>
        <v>-1.5817919010843173E-3</v>
      </c>
      <c r="S26" s="20">
        <f t="shared" si="3"/>
        <v>7.5894354818040641</v>
      </c>
      <c r="T26">
        <f t="shared" si="10"/>
        <v>313.79264557244687</v>
      </c>
    </row>
    <row r="27" spans="1:20" x14ac:dyDescent="0.25">
      <c r="A27" s="23">
        <v>34</v>
      </c>
      <c r="B27" s="23" t="s">
        <v>36</v>
      </c>
      <c r="C27" s="23" t="s">
        <v>37</v>
      </c>
      <c r="D27" s="23">
        <v>28.96941</v>
      </c>
      <c r="E27" s="23">
        <v>-95.370672999999897</v>
      </c>
      <c r="F27" s="23">
        <v>28.9710851</v>
      </c>
      <c r="G27" s="23">
        <v>-95.373328000000001</v>
      </c>
      <c r="H27" s="20">
        <f t="shared" si="0"/>
        <v>0.19786865208635254</v>
      </c>
      <c r="I27">
        <f t="shared" si="1"/>
        <v>305.79701661537928</v>
      </c>
      <c r="J27" t="str">
        <f t="shared" si="2"/>
        <v>NW</v>
      </c>
      <c r="M27" s="21">
        <f t="shared" si="4"/>
        <v>0.50561158686017049</v>
      </c>
      <c r="N27" s="21">
        <f t="shared" si="5"/>
        <v>0.50564082287047063</v>
      </c>
      <c r="O27" s="22">
        <f t="shared" si="6"/>
        <v>2.9236010300137671E-5</v>
      </c>
      <c r="P27" s="22">
        <f t="shared" si="7"/>
        <v>-1.6645322536928562</v>
      </c>
      <c r="Q27" s="22">
        <f t="shared" si="8"/>
        <v>-1.6645785921844984</v>
      </c>
      <c r="R27" s="22">
        <f t="shared" si="9"/>
        <v>-4.6338491642261559E-5</v>
      </c>
      <c r="S27" s="20">
        <f t="shared" si="3"/>
        <v>0.19786865208635254</v>
      </c>
      <c r="T27">
        <f t="shared" si="10"/>
        <v>305.79701661537928</v>
      </c>
    </row>
    <row r="28" spans="1:20" x14ac:dyDescent="0.25">
      <c r="A28" s="23">
        <v>310</v>
      </c>
      <c r="B28" s="23" t="s">
        <v>36</v>
      </c>
      <c r="C28" s="23" t="s">
        <v>40</v>
      </c>
      <c r="D28" s="23">
        <v>28.96941</v>
      </c>
      <c r="E28" s="23">
        <v>-95.370672999999897</v>
      </c>
      <c r="F28" s="23">
        <v>28.968693300000002</v>
      </c>
      <c r="G28" s="23">
        <v>-95.370940300000001</v>
      </c>
      <c r="H28" s="20">
        <f t="shared" si="0"/>
        <v>5.2088644108044091E-2</v>
      </c>
      <c r="I28">
        <f t="shared" si="1"/>
        <v>198.07119426632917</v>
      </c>
      <c r="J28" t="str">
        <f t="shared" si="2"/>
        <v>S</v>
      </c>
      <c r="M28" s="21">
        <f t="shared" si="4"/>
        <v>0.50561158686017049</v>
      </c>
      <c r="N28" s="21">
        <f t="shared" si="5"/>
        <v>0.50559907808542148</v>
      </c>
      <c r="O28" s="22">
        <f t="shared" si="6"/>
        <v>-1.2508774749009355E-5</v>
      </c>
      <c r="P28" s="22">
        <f t="shared" si="7"/>
        <v>-1.6645322536928562</v>
      </c>
      <c r="Q28" s="22">
        <f t="shared" si="8"/>
        <v>-1.6645369189579486</v>
      </c>
      <c r="R28" s="22">
        <f t="shared" si="9"/>
        <v>-4.6652650924627892E-6</v>
      </c>
      <c r="S28" s="20">
        <f t="shared" si="3"/>
        <v>5.2088644108044091E-2</v>
      </c>
      <c r="T28">
        <f t="shared" si="10"/>
        <v>198.07119426632917</v>
      </c>
    </row>
    <row r="29" spans="1:20" x14ac:dyDescent="0.25">
      <c r="A29" s="23">
        <v>116</v>
      </c>
      <c r="B29" s="23" t="s">
        <v>42</v>
      </c>
      <c r="C29" s="23" t="s">
        <v>49</v>
      </c>
      <c r="D29" s="23">
        <v>28.609583000000001</v>
      </c>
      <c r="E29" s="23">
        <v>-96.634897899999899</v>
      </c>
      <c r="F29" s="23">
        <v>28.637597100000001</v>
      </c>
      <c r="G29" s="23">
        <v>-96.619407199999998</v>
      </c>
      <c r="H29" s="20">
        <f t="shared" si="0"/>
        <v>2.151546940101956</v>
      </c>
      <c r="I29">
        <f t="shared" si="1"/>
        <v>25.894773980187722</v>
      </c>
      <c r="J29" t="str">
        <f t="shared" si="2"/>
        <v>NE</v>
      </c>
      <c r="M29" s="21">
        <f t="shared" si="4"/>
        <v>0.49933142097259686</v>
      </c>
      <c r="N29" s="21">
        <f t="shared" si="5"/>
        <v>0.49982035925457985</v>
      </c>
      <c r="O29" s="22">
        <f t="shared" si="6"/>
        <v>4.8893828198298683E-4</v>
      </c>
      <c r="P29" s="22">
        <f t="shared" si="7"/>
        <v>-1.6865971406835523</v>
      </c>
      <c r="Q29" s="22">
        <f t="shared" si="8"/>
        <v>-1.6863267769651153</v>
      </c>
      <c r="R29" s="22">
        <f t="shared" si="9"/>
        <v>2.7036371843691676E-4</v>
      </c>
      <c r="S29" s="20">
        <f t="shared" si="3"/>
        <v>2.151546940101956</v>
      </c>
      <c r="T29">
        <f t="shared" si="10"/>
        <v>25.894773980187722</v>
      </c>
    </row>
    <row r="30" spans="1:20" x14ac:dyDescent="0.25">
      <c r="A30" s="23">
        <v>38</v>
      </c>
      <c r="B30" s="23" t="s">
        <v>42</v>
      </c>
      <c r="C30" s="23" t="s">
        <v>45</v>
      </c>
      <c r="D30" s="23">
        <v>28.609583000000001</v>
      </c>
      <c r="E30" s="23">
        <v>-96.634897899999899</v>
      </c>
      <c r="F30" s="23">
        <v>28.6123084</v>
      </c>
      <c r="G30" s="23">
        <v>-96.645086699999993</v>
      </c>
      <c r="H30" s="20">
        <f t="shared" si="0"/>
        <v>0.64606792161839588</v>
      </c>
      <c r="I30">
        <f t="shared" si="1"/>
        <v>286.94331519590673</v>
      </c>
      <c r="J30" t="str">
        <f t="shared" si="2"/>
        <v>W</v>
      </c>
      <c r="M30" s="21">
        <f t="shared" si="4"/>
        <v>0.49933142097259686</v>
      </c>
      <c r="N30" s="21">
        <f t="shared" si="5"/>
        <v>0.49937898817603071</v>
      </c>
      <c r="O30" s="22">
        <f t="shared" si="6"/>
        <v>4.7567203433851457E-5</v>
      </c>
      <c r="P30" s="22">
        <f t="shared" si="7"/>
        <v>-1.6865971406835523</v>
      </c>
      <c r="Q30" s="22">
        <f t="shared" si="8"/>
        <v>-1.6867749687903812</v>
      </c>
      <c r="R30" s="22">
        <f t="shared" si="9"/>
        <v>-1.7782810682898109E-4</v>
      </c>
      <c r="S30" s="20">
        <f t="shared" si="3"/>
        <v>0.64606792161839588</v>
      </c>
      <c r="T30">
        <f t="shared" si="10"/>
        <v>286.94331519590673</v>
      </c>
    </row>
    <row r="31" spans="1:20" x14ac:dyDescent="0.25">
      <c r="A31" s="23">
        <v>35</v>
      </c>
      <c r="B31" s="23" t="s">
        <v>42</v>
      </c>
      <c r="C31" s="23" t="s">
        <v>17</v>
      </c>
      <c r="D31" s="23">
        <v>28.609583000000001</v>
      </c>
      <c r="E31" s="23">
        <v>-96.634897899999899</v>
      </c>
      <c r="F31" s="23">
        <v>28.6270554</v>
      </c>
      <c r="G31" s="23">
        <v>-96.639964899999995</v>
      </c>
      <c r="H31" s="20">
        <f t="shared" si="0"/>
        <v>1.2457301532236247</v>
      </c>
      <c r="I31">
        <f t="shared" si="1"/>
        <v>345.71632337941151</v>
      </c>
      <c r="J31" t="str">
        <f t="shared" si="2"/>
        <v>N</v>
      </c>
      <c r="M31" s="21">
        <f t="shared" si="4"/>
        <v>0.49933142097259686</v>
      </c>
      <c r="N31" s="21">
        <f t="shared" si="5"/>
        <v>0.49963637188082233</v>
      </c>
      <c r="O31" s="22">
        <f t="shared" si="6"/>
        <v>3.0495090822546533E-4</v>
      </c>
      <c r="P31" s="22">
        <f t="shared" si="7"/>
        <v>-1.6865971406835523</v>
      </c>
      <c r="Q31" s="22">
        <f t="shared" si="8"/>
        <v>-1.6866855765167525</v>
      </c>
      <c r="R31" s="22">
        <f t="shared" si="9"/>
        <v>-8.8435833200284364E-5</v>
      </c>
      <c r="S31" s="20">
        <f t="shared" si="3"/>
        <v>1.2457301532236247</v>
      </c>
      <c r="T31">
        <f t="shared" si="10"/>
        <v>345.71632337941151</v>
      </c>
    </row>
    <row r="32" spans="1:20" x14ac:dyDescent="0.25">
      <c r="A32" s="23">
        <v>102</v>
      </c>
      <c r="B32" s="23" t="s">
        <v>42</v>
      </c>
      <c r="C32" s="23" t="s">
        <v>47</v>
      </c>
      <c r="D32" s="23">
        <v>28.609583000000001</v>
      </c>
      <c r="E32" s="23">
        <v>-96.634897899999899</v>
      </c>
      <c r="F32" s="23">
        <v>28.632917899999999</v>
      </c>
      <c r="G32" s="23">
        <v>-96.628990900000005</v>
      </c>
      <c r="H32" s="20">
        <f t="shared" si="0"/>
        <v>1.6516106372415247</v>
      </c>
      <c r="I32">
        <f t="shared" si="1"/>
        <v>12.529434069106628</v>
      </c>
      <c r="J32" t="str">
        <f t="shared" si="2"/>
        <v>N</v>
      </c>
      <c r="M32" s="21">
        <f t="shared" si="4"/>
        <v>0.49933142097259686</v>
      </c>
      <c r="N32" s="21">
        <f t="shared" si="5"/>
        <v>0.49973869180822045</v>
      </c>
      <c r="O32" s="22">
        <f t="shared" si="6"/>
        <v>4.0727083562358546E-4</v>
      </c>
      <c r="P32" s="22">
        <f t="shared" si="7"/>
        <v>-1.6865971406835523</v>
      </c>
      <c r="Q32" s="22">
        <f t="shared" si="8"/>
        <v>-1.6864940440846388</v>
      </c>
      <c r="R32" s="22">
        <f t="shared" si="9"/>
        <v>1.0309659891349909E-4</v>
      </c>
      <c r="S32" s="20">
        <f t="shared" si="3"/>
        <v>1.6516106372415247</v>
      </c>
      <c r="T32">
        <f t="shared" si="10"/>
        <v>12.529434069106628</v>
      </c>
    </row>
    <row r="33" spans="1:20" x14ac:dyDescent="0.25">
      <c r="A33" s="23">
        <v>163</v>
      </c>
      <c r="B33" s="23" t="s">
        <v>51</v>
      </c>
      <c r="C33" s="23" t="s">
        <v>57</v>
      </c>
      <c r="D33" s="23">
        <v>29.1848379999999</v>
      </c>
      <c r="E33" s="23">
        <v>-95.409048999999897</v>
      </c>
      <c r="F33" s="23">
        <v>29.183290400000001</v>
      </c>
      <c r="G33" s="23">
        <v>-95.432289699999998</v>
      </c>
      <c r="H33" s="20">
        <f t="shared" si="0"/>
        <v>1.4060082008594745</v>
      </c>
      <c r="I33">
        <f t="shared" si="1"/>
        <v>265.63270060251858</v>
      </c>
      <c r="J33" t="str">
        <f t="shared" si="2"/>
        <v>W</v>
      </c>
      <c r="M33" s="21">
        <f t="shared" si="4"/>
        <v>0.50937151476115505</v>
      </c>
      <c r="N33" s="21">
        <f t="shared" si="5"/>
        <v>0.50934450404565301</v>
      </c>
      <c r="O33" s="22">
        <f t="shared" si="6"/>
        <v>-2.7010715502040483E-5</v>
      </c>
      <c r="P33" s="22">
        <f t="shared" si="7"/>
        <v>-1.6652020412466015</v>
      </c>
      <c r="Q33" s="22">
        <f t="shared" si="8"/>
        <v>-1.6656076679820715</v>
      </c>
      <c r="R33" s="22">
        <f t="shared" si="9"/>
        <v>-4.0562673546995498E-4</v>
      </c>
      <c r="S33" s="20">
        <f t="shared" si="3"/>
        <v>1.4060082008594745</v>
      </c>
      <c r="T33">
        <f t="shared" si="10"/>
        <v>265.63270060251858</v>
      </c>
    </row>
    <row r="34" spans="1:20" x14ac:dyDescent="0.25">
      <c r="A34" s="23">
        <v>41</v>
      </c>
      <c r="B34" s="23" t="s">
        <v>51</v>
      </c>
      <c r="C34" s="23" t="s">
        <v>52</v>
      </c>
      <c r="D34" s="23">
        <v>29.1848379999999</v>
      </c>
      <c r="E34" s="23">
        <v>-95.409048999999897</v>
      </c>
      <c r="F34" s="23">
        <v>29.183040299999998</v>
      </c>
      <c r="G34" s="23">
        <v>-95.435947499999997</v>
      </c>
      <c r="H34" s="20">
        <f t="shared" si="0"/>
        <v>1.6273329078497027</v>
      </c>
      <c r="I34">
        <f t="shared" si="1"/>
        <v>265.61598256563451</v>
      </c>
      <c r="J34" t="str">
        <f t="shared" si="2"/>
        <v>W</v>
      </c>
      <c r="M34" s="21">
        <f t="shared" si="4"/>
        <v>0.50937151476115505</v>
      </c>
      <c r="N34" s="21">
        <f t="shared" si="5"/>
        <v>0.50934013897719377</v>
      </c>
      <c r="O34" s="22">
        <f t="shared" si="6"/>
        <v>-3.1375783961284931E-5</v>
      </c>
      <c r="P34" s="22">
        <f t="shared" si="7"/>
        <v>-1.6652020412466015</v>
      </c>
      <c r="Q34" s="22">
        <f t="shared" si="8"/>
        <v>-1.665671508635451</v>
      </c>
      <c r="R34" s="22">
        <f t="shared" si="9"/>
        <v>-4.6946738884945383E-4</v>
      </c>
      <c r="S34" s="20">
        <f t="shared" si="3"/>
        <v>1.6273329078497027</v>
      </c>
      <c r="T34">
        <f t="shared" si="10"/>
        <v>265.61598256563451</v>
      </c>
    </row>
    <row r="35" spans="1:20" x14ac:dyDescent="0.25">
      <c r="A35" s="23">
        <v>43</v>
      </c>
      <c r="B35" s="23" t="s">
        <v>51</v>
      </c>
      <c r="C35" s="23" t="s">
        <v>55</v>
      </c>
      <c r="D35" s="23">
        <v>29.1848379999999</v>
      </c>
      <c r="E35" s="23">
        <v>-95.409048999999897</v>
      </c>
      <c r="F35" s="23">
        <v>29.171438999999999</v>
      </c>
      <c r="G35" s="23">
        <v>-95.419618700000001</v>
      </c>
      <c r="H35" s="20">
        <f t="shared" si="0"/>
        <v>1.1241173189067066</v>
      </c>
      <c r="I35">
        <f t="shared" si="1"/>
        <v>214.55434841814088</v>
      </c>
      <c r="J35" t="str">
        <f t="shared" si="2"/>
        <v>SW</v>
      </c>
      <c r="M35" s="21">
        <f t="shared" si="4"/>
        <v>0.50937151476115505</v>
      </c>
      <c r="N35" s="21">
        <f t="shared" si="5"/>
        <v>0.50913765809468214</v>
      </c>
      <c r="O35" s="22">
        <f t="shared" si="6"/>
        <v>-2.3385666647290915E-4</v>
      </c>
      <c r="P35" s="22">
        <f t="shared" si="7"/>
        <v>-1.6652020412466015</v>
      </c>
      <c r="Q35" s="22">
        <f t="shared" si="8"/>
        <v>-1.6653865173125515</v>
      </c>
      <c r="R35" s="22">
        <f t="shared" si="9"/>
        <v>-1.8447606594995669E-4</v>
      </c>
      <c r="S35" s="20">
        <f t="shared" si="3"/>
        <v>1.1241173189067066</v>
      </c>
      <c r="T35">
        <f t="shared" si="10"/>
        <v>214.55434841814088</v>
      </c>
    </row>
    <row r="36" spans="1:20" x14ac:dyDescent="0.25">
      <c r="A36" s="23">
        <v>198</v>
      </c>
      <c r="B36" s="23" t="s">
        <v>59</v>
      </c>
      <c r="C36" s="23" t="s">
        <v>64</v>
      </c>
      <c r="D36" s="23">
        <v>29.430154000000002</v>
      </c>
      <c r="E36" s="23">
        <v>-95.226366999999897</v>
      </c>
      <c r="F36" s="23">
        <v>29.4297042</v>
      </c>
      <c r="G36" s="23">
        <v>-95.245233099999993</v>
      </c>
      <c r="H36" s="20">
        <f t="shared" ref="H36:H67" si="11">S36</f>
        <v>1.1357368993535577</v>
      </c>
      <c r="I36">
        <f t="shared" ref="I36:I67" si="12">T36</f>
        <v>268.42733393581102</v>
      </c>
      <c r="J36" t="str">
        <f t="shared" ref="J36:J67" si="13">GetBearing(I36,Direction_Precision)</f>
        <v>W</v>
      </c>
      <c r="M36" s="21">
        <f t="shared" si="4"/>
        <v>0.51365308666897924</v>
      </c>
      <c r="N36" s="21">
        <f t="shared" si="5"/>
        <v>0.51364523617800373</v>
      </c>
      <c r="O36" s="22">
        <f t="shared" si="6"/>
        <v>-7.8504909755139352E-6</v>
      </c>
      <c r="P36" s="22">
        <f t="shared" si="7"/>
        <v>-1.6620136388624733</v>
      </c>
      <c r="Q36" s="22">
        <f t="shared" si="8"/>
        <v>-1.6623429144244855</v>
      </c>
      <c r="R36" s="22">
        <f t="shared" si="9"/>
        <v>-3.2927556201212127E-4</v>
      </c>
      <c r="S36" s="20">
        <f t="shared" ref="S36:S67" si="14">Planet_Radius*(2*ATAN2(SQRT(1-((SIN(RADIANS(F36-D36)/2)^2)+COS(RADIANS(D36))*COS(RADIANS(F36))*(SIN(RADIANS(G36-E36)/2)^2))),SQRT(((SIN(RADIANS(F36-D36)/2)^2)+COS(RADIANS(D36))*COS(RADIANS(F36))*(SIN(RADIANS(G36-E36)/2)^2)))))</f>
        <v>1.1357368993535577</v>
      </c>
      <c r="T36">
        <f t="shared" si="10"/>
        <v>268.42733393581102</v>
      </c>
    </row>
    <row r="37" spans="1:20" x14ac:dyDescent="0.25">
      <c r="A37" s="23">
        <v>377</v>
      </c>
      <c r="B37" s="23" t="s">
        <v>59</v>
      </c>
      <c r="C37" s="23" t="s">
        <v>68</v>
      </c>
      <c r="D37" s="23">
        <v>29.430154000000002</v>
      </c>
      <c r="E37" s="23">
        <v>-95.226366999999897</v>
      </c>
      <c r="F37" s="23">
        <v>29.423944599999999</v>
      </c>
      <c r="G37" s="23">
        <v>-95.230335100000005</v>
      </c>
      <c r="H37" s="20">
        <f t="shared" si="11"/>
        <v>0.49100800114598553</v>
      </c>
      <c r="I37">
        <f t="shared" si="12"/>
        <v>209.09927747996741</v>
      </c>
      <c r="J37" t="str">
        <f t="shared" si="13"/>
        <v>SW</v>
      </c>
      <c r="M37" s="21">
        <f t="shared" si="4"/>
        <v>0.51365308666897924</v>
      </c>
      <c r="N37" s="21">
        <f t="shared" si="5"/>
        <v>0.51354471219440589</v>
      </c>
      <c r="O37" s="22">
        <f t="shared" si="6"/>
        <v>-1.0837447457334726E-4</v>
      </c>
      <c r="P37" s="22">
        <f t="shared" si="7"/>
        <v>-1.6620136388624733</v>
      </c>
      <c r="Q37" s="22">
        <f t="shared" si="8"/>
        <v>-1.6620828952725235</v>
      </c>
      <c r="R37" s="22">
        <f t="shared" si="9"/>
        <v>-6.9256410050178019E-5</v>
      </c>
      <c r="S37" s="20">
        <f t="shared" si="14"/>
        <v>0.49100800114598553</v>
      </c>
      <c r="T37">
        <f t="shared" si="10"/>
        <v>209.09927747996741</v>
      </c>
    </row>
    <row r="38" spans="1:20" x14ac:dyDescent="0.25">
      <c r="A38" s="23">
        <v>130</v>
      </c>
      <c r="B38" s="23" t="s">
        <v>59</v>
      </c>
      <c r="C38" s="23" t="s">
        <v>47</v>
      </c>
      <c r="D38" s="23">
        <v>29.430154000000002</v>
      </c>
      <c r="E38" s="23">
        <v>-95.226366999999897</v>
      </c>
      <c r="F38" s="23">
        <v>29.423275799999999</v>
      </c>
      <c r="G38" s="23">
        <v>-95.231321699999995</v>
      </c>
      <c r="H38" s="20">
        <f t="shared" si="11"/>
        <v>0.56103144508947467</v>
      </c>
      <c r="I38">
        <f t="shared" si="12"/>
        <v>212.1034560249706</v>
      </c>
      <c r="J38" t="str">
        <f t="shared" si="13"/>
        <v>SW</v>
      </c>
      <c r="M38" s="21">
        <f t="shared" si="4"/>
        <v>0.51365308666897924</v>
      </c>
      <c r="N38" s="21">
        <f t="shared" si="5"/>
        <v>0.51353303943236861</v>
      </c>
      <c r="O38" s="22">
        <f t="shared" si="6"/>
        <v>-1.2004723661063199E-4</v>
      </c>
      <c r="P38" s="22">
        <f t="shared" si="7"/>
        <v>-1.6620136388624733</v>
      </c>
      <c r="Q38" s="22">
        <f t="shared" si="8"/>
        <v>-1.6621001146909236</v>
      </c>
      <c r="R38" s="22">
        <f t="shared" si="9"/>
        <v>-8.647582845022761E-5</v>
      </c>
      <c r="S38" s="20">
        <f t="shared" si="14"/>
        <v>0.56103144508947467</v>
      </c>
      <c r="T38">
        <f t="shared" si="10"/>
        <v>212.1034560249706</v>
      </c>
    </row>
    <row r="39" spans="1:20" x14ac:dyDescent="0.25">
      <c r="A39" s="23">
        <v>238</v>
      </c>
      <c r="B39" s="23" t="s">
        <v>59</v>
      </c>
      <c r="C39" s="23" t="s">
        <v>66</v>
      </c>
      <c r="D39" s="23">
        <v>29.430154000000002</v>
      </c>
      <c r="E39" s="23">
        <v>-95.226366999999897</v>
      </c>
      <c r="F39" s="23">
        <v>29.370129299999999</v>
      </c>
      <c r="G39" s="23">
        <v>-95.253599699999995</v>
      </c>
      <c r="H39" s="20">
        <f t="shared" si="11"/>
        <v>4.4595246379231988</v>
      </c>
      <c r="I39">
        <f t="shared" si="12"/>
        <v>201.56031148284796</v>
      </c>
      <c r="J39" t="str">
        <f t="shared" si="13"/>
        <v>S</v>
      </c>
      <c r="M39" s="21">
        <f t="shared" si="4"/>
        <v>0.51365308666897924</v>
      </c>
      <c r="N39" s="21">
        <f t="shared" si="5"/>
        <v>0.51260545802145741</v>
      </c>
      <c r="O39" s="22">
        <f t="shared" si="6"/>
        <v>-1.0476286475218366E-3</v>
      </c>
      <c r="P39" s="22">
        <f t="shared" si="7"/>
        <v>-1.6620136388624733</v>
      </c>
      <c r="Q39" s="22">
        <f t="shared" si="8"/>
        <v>-1.6624889391416828</v>
      </c>
      <c r="R39" s="22">
        <f t="shared" si="9"/>
        <v>-4.7530027920950069E-4</v>
      </c>
      <c r="S39" s="20">
        <f t="shared" si="14"/>
        <v>4.4595246379231988</v>
      </c>
      <c r="T39">
        <f t="shared" si="10"/>
        <v>201.56031148284796</v>
      </c>
    </row>
    <row r="40" spans="1:20" x14ac:dyDescent="0.25">
      <c r="A40" s="23">
        <v>117</v>
      </c>
      <c r="B40" s="23" t="s">
        <v>59</v>
      </c>
      <c r="C40" s="23" t="s">
        <v>60</v>
      </c>
      <c r="D40" s="23">
        <v>29.430154000000002</v>
      </c>
      <c r="E40" s="23">
        <v>-95.226366999999897</v>
      </c>
      <c r="F40" s="23">
        <v>29.404667499999999</v>
      </c>
      <c r="G40" s="23">
        <v>-95.237537500000002</v>
      </c>
      <c r="H40" s="20">
        <f t="shared" si="11"/>
        <v>1.8849173583541872</v>
      </c>
      <c r="I40">
        <f t="shared" si="12"/>
        <v>200.89309565637211</v>
      </c>
      <c r="J40" t="str">
        <f t="shared" si="13"/>
        <v>S</v>
      </c>
      <c r="M40" s="21">
        <f t="shared" si="4"/>
        <v>0.51365308666897924</v>
      </c>
      <c r="N40" s="21">
        <f t="shared" si="5"/>
        <v>0.51320826332916969</v>
      </c>
      <c r="O40" s="22">
        <f t="shared" si="6"/>
        <v>-4.4482333980955246E-4</v>
      </c>
      <c r="P40" s="22">
        <f t="shared" si="7"/>
        <v>-1.6620136388624733</v>
      </c>
      <c r="Q40" s="22">
        <f t="shared" si="8"/>
        <v>-1.6622086008665691</v>
      </c>
      <c r="R40" s="22">
        <f t="shared" si="9"/>
        <v>-1.9496200409574449E-4</v>
      </c>
      <c r="S40" s="20">
        <f t="shared" si="14"/>
        <v>1.8849173583541872</v>
      </c>
      <c r="T40">
        <f t="shared" si="10"/>
        <v>200.89309565637211</v>
      </c>
    </row>
    <row r="41" spans="1:20" x14ac:dyDescent="0.25">
      <c r="A41" s="23">
        <v>294</v>
      </c>
      <c r="B41" s="23" t="s">
        <v>70</v>
      </c>
      <c r="C41" s="23" t="s">
        <v>79</v>
      </c>
      <c r="D41" s="23">
        <v>29.5152290999999</v>
      </c>
      <c r="E41" s="23">
        <v>-97.4624484</v>
      </c>
      <c r="F41" s="23">
        <v>29.514544300000001</v>
      </c>
      <c r="G41" s="23">
        <v>-97.464335399999996</v>
      </c>
      <c r="H41" s="20">
        <f t="shared" si="11"/>
        <v>0.12292998357618366</v>
      </c>
      <c r="I41">
        <f t="shared" si="12"/>
        <v>247.36232645701244</v>
      </c>
      <c r="J41" t="str">
        <f t="shared" si="13"/>
        <v>SW</v>
      </c>
      <c r="M41" s="21">
        <f t="shared" si="4"/>
        <v>0.51513792727544094</v>
      </c>
      <c r="N41" s="21">
        <f t="shared" si="5"/>
        <v>0.51512597526072501</v>
      </c>
      <c r="O41" s="22">
        <f t="shared" si="6"/>
        <v>-1.1952014715932435E-5</v>
      </c>
      <c r="P41" s="22">
        <f t="shared" si="7"/>
        <v>-1.7010406216350793</v>
      </c>
      <c r="Q41" s="22">
        <f t="shared" si="8"/>
        <v>-1.7010735559980645</v>
      </c>
      <c r="R41" s="22">
        <f t="shared" si="9"/>
        <v>-3.2934362985237442E-5</v>
      </c>
      <c r="S41" s="20">
        <f t="shared" si="14"/>
        <v>0.12292998357618366</v>
      </c>
      <c r="T41">
        <f t="shared" si="10"/>
        <v>247.36232645701244</v>
      </c>
    </row>
    <row r="42" spans="1:20" x14ac:dyDescent="0.25">
      <c r="A42" s="23">
        <v>341</v>
      </c>
      <c r="B42" s="23" t="s">
        <v>70</v>
      </c>
      <c r="C42" s="23" t="s">
        <v>87</v>
      </c>
      <c r="D42" s="23">
        <v>29.5152290999999</v>
      </c>
      <c r="E42" s="23">
        <v>-97.4624484</v>
      </c>
      <c r="F42" s="23">
        <v>29.472823200000001</v>
      </c>
      <c r="G42" s="23">
        <v>-97.447257800000003</v>
      </c>
      <c r="H42" s="20">
        <f t="shared" si="11"/>
        <v>3.0690830647927587</v>
      </c>
      <c r="I42">
        <f t="shared" si="12"/>
        <v>162.68645070290196</v>
      </c>
      <c r="J42" t="str">
        <f t="shared" si="13"/>
        <v>S</v>
      </c>
      <c r="M42" s="21">
        <f t="shared" si="4"/>
        <v>0.51513792727544094</v>
      </c>
      <c r="N42" s="21">
        <f t="shared" si="5"/>
        <v>0.5143978046981712</v>
      </c>
      <c r="O42" s="22">
        <f t="shared" si="6"/>
        <v>-7.4012257726974173E-4</v>
      </c>
      <c r="P42" s="22">
        <f t="shared" si="7"/>
        <v>-1.7010406216350793</v>
      </c>
      <c r="Q42" s="22">
        <f t="shared" si="8"/>
        <v>-1.7007754956497261</v>
      </c>
      <c r="R42" s="22">
        <f t="shared" si="9"/>
        <v>2.6512598535322063E-4</v>
      </c>
      <c r="S42" s="20">
        <f t="shared" si="14"/>
        <v>3.0690830647927587</v>
      </c>
      <c r="T42">
        <f t="shared" si="10"/>
        <v>162.68645070290196</v>
      </c>
    </row>
    <row r="43" spans="1:20" x14ac:dyDescent="0.25">
      <c r="A43" s="23">
        <v>48</v>
      </c>
      <c r="B43" s="23" t="s">
        <v>70</v>
      </c>
      <c r="C43" s="23" t="s">
        <v>74</v>
      </c>
      <c r="D43" s="23">
        <v>29.5152290999999</v>
      </c>
      <c r="E43" s="23">
        <v>-97.4624484</v>
      </c>
      <c r="F43" s="23">
        <v>29.4723738</v>
      </c>
      <c r="G43" s="23">
        <v>-97.447169000000002</v>
      </c>
      <c r="H43" s="20">
        <f t="shared" si="11"/>
        <v>3.1003191210402004</v>
      </c>
      <c r="I43">
        <f t="shared" si="12"/>
        <v>162.7630257264158</v>
      </c>
      <c r="J43" t="str">
        <f t="shared" si="13"/>
        <v>S</v>
      </c>
      <c r="M43" s="21">
        <f t="shared" si="4"/>
        <v>0.51513792727544094</v>
      </c>
      <c r="N43" s="21">
        <f t="shared" si="5"/>
        <v>0.51438996118851277</v>
      </c>
      <c r="O43" s="22">
        <f t="shared" si="6"/>
        <v>-7.4796608692817568E-4</v>
      </c>
      <c r="P43" s="22">
        <f t="shared" si="7"/>
        <v>-1.7010406216350793</v>
      </c>
      <c r="Q43" s="22">
        <f t="shared" si="8"/>
        <v>-1.7007739457973503</v>
      </c>
      <c r="R43" s="22">
        <f t="shared" si="9"/>
        <v>2.6667583772899128E-4</v>
      </c>
      <c r="S43" s="20">
        <f t="shared" si="14"/>
        <v>3.1003191210402004</v>
      </c>
      <c r="T43">
        <f t="shared" si="10"/>
        <v>162.7630257264158</v>
      </c>
    </row>
    <row r="44" spans="1:20" x14ac:dyDescent="0.25">
      <c r="A44" s="23">
        <v>342</v>
      </c>
      <c r="B44" s="23" t="s">
        <v>70</v>
      </c>
      <c r="C44" s="23" t="s">
        <v>89</v>
      </c>
      <c r="D44" s="23">
        <v>29.5152290999999</v>
      </c>
      <c r="E44" s="23">
        <v>-97.4624484</v>
      </c>
      <c r="F44" s="23">
        <v>29.5201128</v>
      </c>
      <c r="G44" s="23">
        <v>-97.452161399999994</v>
      </c>
      <c r="H44" s="20">
        <f t="shared" si="11"/>
        <v>0.70456563737280575</v>
      </c>
      <c r="I44">
        <f t="shared" si="12"/>
        <v>61.387598368528813</v>
      </c>
      <c r="J44" t="str">
        <f t="shared" si="13"/>
        <v>NE</v>
      </c>
      <c r="M44" s="21">
        <f t="shared" si="4"/>
        <v>0.51513792727544094</v>
      </c>
      <c r="N44" s="21">
        <f t="shared" si="5"/>
        <v>0.51522316392012235</v>
      </c>
      <c r="O44" s="22">
        <f t="shared" si="6"/>
        <v>8.5236644681407903E-5</v>
      </c>
      <c r="P44" s="22">
        <f t="shared" si="7"/>
        <v>-1.7010406216350793</v>
      </c>
      <c r="Q44" s="22">
        <f t="shared" si="8"/>
        <v>-1.7008610796149266</v>
      </c>
      <c r="R44" s="22">
        <f t="shared" si="9"/>
        <v>1.7954202015268983E-4</v>
      </c>
      <c r="S44" s="20">
        <f t="shared" si="14"/>
        <v>0.70456563737280575</v>
      </c>
      <c r="T44">
        <f t="shared" si="10"/>
        <v>61.387598368528813</v>
      </c>
    </row>
    <row r="45" spans="1:20" x14ac:dyDescent="0.25">
      <c r="A45" s="23">
        <v>47</v>
      </c>
      <c r="B45" s="23" t="s">
        <v>70</v>
      </c>
      <c r="C45" s="23" t="s">
        <v>71</v>
      </c>
      <c r="D45" s="23">
        <v>29.5152290999999</v>
      </c>
      <c r="E45" s="23">
        <v>-97.4624484</v>
      </c>
      <c r="F45" s="23">
        <v>29.519958800000001</v>
      </c>
      <c r="G45" s="23">
        <v>-97.453459600000002</v>
      </c>
      <c r="H45" s="20">
        <f t="shared" si="11"/>
        <v>0.63157201076558223</v>
      </c>
      <c r="I45">
        <f t="shared" si="12"/>
        <v>58.842577674369409</v>
      </c>
      <c r="J45" t="str">
        <f t="shared" si="13"/>
        <v>NE</v>
      </c>
      <c r="M45" s="21">
        <f t="shared" si="4"/>
        <v>0.51513792727544094</v>
      </c>
      <c r="N45" s="21">
        <f t="shared" si="5"/>
        <v>0.51522047611307431</v>
      </c>
      <c r="O45" s="22">
        <f t="shared" si="6"/>
        <v>8.2548837633367178E-5</v>
      </c>
      <c r="P45" s="22">
        <f t="shared" si="7"/>
        <v>-1.7010406216350793</v>
      </c>
      <c r="Q45" s="22">
        <f t="shared" si="8"/>
        <v>-1.7008837374792762</v>
      </c>
      <c r="R45" s="22">
        <f t="shared" si="9"/>
        <v>1.5688415580306092E-4</v>
      </c>
      <c r="S45" s="20">
        <f t="shared" si="14"/>
        <v>0.63157201076558223</v>
      </c>
      <c r="T45">
        <f t="shared" si="10"/>
        <v>58.842577674369409</v>
      </c>
    </row>
    <row r="46" spans="1:20" x14ac:dyDescent="0.25">
      <c r="A46" s="23">
        <v>343</v>
      </c>
      <c r="B46" s="23" t="s">
        <v>70</v>
      </c>
      <c r="C46" s="23" t="s">
        <v>91</v>
      </c>
      <c r="D46" s="23">
        <v>29.5152290999999</v>
      </c>
      <c r="E46" s="23">
        <v>-97.4624484</v>
      </c>
      <c r="F46" s="23">
        <v>29.522471199999998</v>
      </c>
      <c r="G46" s="23">
        <v>-97.439060999999995</v>
      </c>
      <c r="H46" s="20">
        <f t="shared" si="11"/>
        <v>1.492534651500633</v>
      </c>
      <c r="I46">
        <f t="shared" si="12"/>
        <v>70.417673006856603</v>
      </c>
      <c r="J46" t="str">
        <f t="shared" si="13"/>
        <v>E</v>
      </c>
      <c r="M46" s="21">
        <f t="shared" si="4"/>
        <v>0.51513792727544094</v>
      </c>
      <c r="N46" s="21">
        <f t="shared" si="5"/>
        <v>0.51526432576520131</v>
      </c>
      <c r="O46" s="22">
        <f t="shared" si="6"/>
        <v>1.2639848976037094E-4</v>
      </c>
      <c r="P46" s="22">
        <f t="shared" si="7"/>
        <v>-1.7010406216350793</v>
      </c>
      <c r="Q46" s="22">
        <f t="shared" si="8"/>
        <v>-1.7006324345015984</v>
      </c>
      <c r="R46" s="22">
        <f t="shared" si="9"/>
        <v>4.081871334808973E-4</v>
      </c>
      <c r="S46" s="20">
        <f t="shared" si="14"/>
        <v>1.492534651500633</v>
      </c>
      <c r="T46">
        <f t="shared" si="10"/>
        <v>70.417673006856603</v>
      </c>
    </row>
    <row r="47" spans="1:20" x14ac:dyDescent="0.25">
      <c r="A47" s="23">
        <v>295</v>
      </c>
      <c r="B47" s="23" t="s">
        <v>70</v>
      </c>
      <c r="C47" s="23" t="s">
        <v>81</v>
      </c>
      <c r="D47" s="23">
        <v>29.5152290999999</v>
      </c>
      <c r="E47" s="23">
        <v>-97.4624484</v>
      </c>
      <c r="F47" s="23">
        <v>29.520389399999999</v>
      </c>
      <c r="G47" s="23">
        <v>-97.439740799999996</v>
      </c>
      <c r="H47" s="20">
        <f t="shared" si="11"/>
        <v>1.4110858349300492</v>
      </c>
      <c r="I47">
        <f t="shared" si="12"/>
        <v>75.369892960612788</v>
      </c>
      <c r="J47" t="str">
        <f t="shared" si="13"/>
        <v>E</v>
      </c>
      <c r="M47" s="21">
        <f t="shared" si="4"/>
        <v>0.51513792727544094</v>
      </c>
      <c r="N47" s="21">
        <f t="shared" si="5"/>
        <v>0.51522799150083332</v>
      </c>
      <c r="O47" s="22">
        <f t="shared" si="6"/>
        <v>9.0064225392372244E-5</v>
      </c>
      <c r="P47" s="22">
        <f t="shared" si="7"/>
        <v>-1.7010406216350793</v>
      </c>
      <c r="Q47" s="22">
        <f t="shared" si="8"/>
        <v>-1.7006442992498534</v>
      </c>
      <c r="R47" s="22">
        <f t="shared" si="9"/>
        <v>3.9632238522591123E-4</v>
      </c>
      <c r="S47" s="20">
        <f t="shared" si="14"/>
        <v>1.4110858349300492</v>
      </c>
      <c r="T47">
        <f t="shared" si="10"/>
        <v>75.369892960612788</v>
      </c>
    </row>
    <row r="48" spans="1:20" x14ac:dyDescent="0.25">
      <c r="A48" s="23">
        <v>189</v>
      </c>
      <c r="B48" s="23" t="s">
        <v>70</v>
      </c>
      <c r="C48" s="23" t="s">
        <v>17</v>
      </c>
      <c r="D48" s="23">
        <v>29.5152290999999</v>
      </c>
      <c r="E48" s="23">
        <v>-97.4624484</v>
      </c>
      <c r="F48" s="23">
        <v>29.517711500000001</v>
      </c>
      <c r="G48" s="23">
        <v>-97.452758700000004</v>
      </c>
      <c r="H48" s="20">
        <f t="shared" si="11"/>
        <v>0.6073254273049461</v>
      </c>
      <c r="I48">
        <f t="shared" si="12"/>
        <v>73.598047302710711</v>
      </c>
      <c r="J48" t="str">
        <f t="shared" si="13"/>
        <v>E</v>
      </c>
      <c r="M48" s="21">
        <f t="shared" si="4"/>
        <v>0.51513792727544094</v>
      </c>
      <c r="N48" s="21">
        <f t="shared" si="5"/>
        <v>0.51518125332879416</v>
      </c>
      <c r="O48" s="22">
        <f t="shared" si="6"/>
        <v>4.3326053353220928E-5</v>
      </c>
      <c r="P48" s="22">
        <f t="shared" si="7"/>
        <v>-1.7010406216350793</v>
      </c>
      <c r="Q48" s="22">
        <f t="shared" si="8"/>
        <v>-1.700871504466549</v>
      </c>
      <c r="R48" s="22">
        <f t="shared" si="9"/>
        <v>1.6911716853029723E-4</v>
      </c>
      <c r="S48" s="20">
        <f t="shared" si="14"/>
        <v>0.6073254273049461</v>
      </c>
      <c r="T48">
        <f t="shared" si="10"/>
        <v>73.598047302710711</v>
      </c>
    </row>
    <row r="49" spans="1:20" x14ac:dyDescent="0.25">
      <c r="A49" s="23">
        <v>119</v>
      </c>
      <c r="B49" s="23" t="s">
        <v>70</v>
      </c>
      <c r="C49" s="23" t="s">
        <v>76</v>
      </c>
      <c r="D49" s="23">
        <v>29.5152290999999</v>
      </c>
      <c r="E49" s="23">
        <v>-97.4624484</v>
      </c>
      <c r="F49" s="23">
        <v>29.5152714</v>
      </c>
      <c r="G49" s="23">
        <v>-97.459460000000007</v>
      </c>
      <c r="H49" s="20">
        <f t="shared" si="11"/>
        <v>0.17970643470594472</v>
      </c>
      <c r="I49">
        <f t="shared" si="12"/>
        <v>89.068867646148874</v>
      </c>
      <c r="J49" t="str">
        <f t="shared" si="13"/>
        <v>E</v>
      </c>
      <c r="M49" s="21">
        <f t="shared" si="4"/>
        <v>0.51513792727544094</v>
      </c>
      <c r="N49" s="21">
        <f t="shared" si="5"/>
        <v>0.51513866554971632</v>
      </c>
      <c r="O49" s="22">
        <f t="shared" si="6"/>
        <v>7.3827427538031287E-7</v>
      </c>
      <c r="P49" s="22">
        <f t="shared" si="7"/>
        <v>-1.7010406216350793</v>
      </c>
      <c r="Q49" s="22">
        <f t="shared" si="8"/>
        <v>-1.7009884642157129</v>
      </c>
      <c r="R49" s="22">
        <f t="shared" si="9"/>
        <v>5.2157419366372082E-5</v>
      </c>
      <c r="S49" s="20">
        <f t="shared" si="14"/>
        <v>0.17970643470594472</v>
      </c>
      <c r="T49">
        <f t="shared" si="10"/>
        <v>89.068867646148874</v>
      </c>
    </row>
    <row r="50" spans="1:20" x14ac:dyDescent="0.25">
      <c r="A50" s="23">
        <v>330</v>
      </c>
      <c r="B50" s="23" t="s">
        <v>70</v>
      </c>
      <c r="C50" s="23" t="s">
        <v>85</v>
      </c>
      <c r="D50" s="23">
        <v>29.5152290999999</v>
      </c>
      <c r="E50" s="23">
        <v>-97.4624484</v>
      </c>
      <c r="F50" s="23">
        <v>29.516645</v>
      </c>
      <c r="G50" s="23">
        <v>-97.460471200000001</v>
      </c>
      <c r="H50" s="20">
        <f t="shared" si="11"/>
        <v>0.1539591693261019</v>
      </c>
      <c r="I50">
        <f t="shared" si="12"/>
        <v>50.54910133083979</v>
      </c>
      <c r="J50" t="str">
        <f t="shared" si="13"/>
        <v>NE</v>
      </c>
      <c r="M50" s="21">
        <f t="shared" si="4"/>
        <v>0.51513792727544094</v>
      </c>
      <c r="N50" s="21">
        <f t="shared" si="5"/>
        <v>0.51516263939232165</v>
      </c>
      <c r="O50" s="22">
        <f t="shared" si="6"/>
        <v>2.4712116880709623E-5</v>
      </c>
      <c r="P50" s="22">
        <f t="shared" si="7"/>
        <v>-1.7010406216350793</v>
      </c>
      <c r="Q50" s="22">
        <f t="shared" si="8"/>
        <v>-1.7010061129851091</v>
      </c>
      <c r="R50" s="22">
        <f t="shared" si="9"/>
        <v>3.4508649970232952E-5</v>
      </c>
      <c r="S50" s="20">
        <f t="shared" si="14"/>
        <v>0.1539591693261019</v>
      </c>
      <c r="T50">
        <f t="shared" si="10"/>
        <v>50.54910133083979</v>
      </c>
    </row>
    <row r="51" spans="1:20" x14ac:dyDescent="0.25">
      <c r="A51" s="23">
        <v>316</v>
      </c>
      <c r="B51" s="23" t="s">
        <v>70</v>
      </c>
      <c r="C51" s="23" t="s">
        <v>83</v>
      </c>
      <c r="D51" s="23">
        <v>29.5152290999999</v>
      </c>
      <c r="E51" s="23">
        <v>-97.4624484</v>
      </c>
      <c r="F51" s="23">
        <v>29.518107000000001</v>
      </c>
      <c r="G51" s="23">
        <v>-97.450912200000005</v>
      </c>
      <c r="H51" s="20">
        <f t="shared" si="11"/>
        <v>0.72156298965157595</v>
      </c>
      <c r="I51">
        <f t="shared" si="12"/>
        <v>74.006644165532293</v>
      </c>
      <c r="J51" t="str">
        <f t="shared" si="13"/>
        <v>E</v>
      </c>
      <c r="M51" s="21">
        <f t="shared" si="4"/>
        <v>0.51513792727544094</v>
      </c>
      <c r="N51" s="21">
        <f t="shared" si="5"/>
        <v>0.51518815610598578</v>
      </c>
      <c r="O51" s="22">
        <f t="shared" si="6"/>
        <v>5.0228830544840619E-5</v>
      </c>
      <c r="P51" s="22">
        <f t="shared" si="7"/>
        <v>-1.7010406216350793</v>
      </c>
      <c r="Q51" s="22">
        <f t="shared" si="8"/>
        <v>-1.700839276961911</v>
      </c>
      <c r="R51" s="22">
        <f t="shared" si="9"/>
        <v>2.0134467316834659E-4</v>
      </c>
      <c r="S51" s="20">
        <f t="shared" si="14"/>
        <v>0.72156298965157595</v>
      </c>
      <c r="T51">
        <f t="shared" si="10"/>
        <v>74.006644165532293</v>
      </c>
    </row>
    <row r="52" spans="1:20" x14ac:dyDescent="0.25">
      <c r="A52" s="23">
        <v>52</v>
      </c>
      <c r="B52" s="23" t="s">
        <v>93</v>
      </c>
      <c r="C52" s="23" t="s">
        <v>94</v>
      </c>
      <c r="D52" s="23">
        <v>30.179103999999899</v>
      </c>
      <c r="E52" s="23">
        <v>-96.912539199999898</v>
      </c>
      <c r="F52" s="23">
        <v>30.183155800000002</v>
      </c>
      <c r="G52" s="23">
        <v>-96.935102900000004</v>
      </c>
      <c r="H52" s="20">
        <f t="shared" si="11"/>
        <v>1.376433935951195</v>
      </c>
      <c r="I52">
        <f t="shared" si="12"/>
        <v>281.72957171309628</v>
      </c>
      <c r="J52" t="str">
        <f t="shared" si="13"/>
        <v>W</v>
      </c>
      <c r="M52" s="21">
        <f t="shared" si="4"/>
        <v>0.526724730101789</v>
      </c>
      <c r="N52" s="21">
        <f t="shared" si="5"/>
        <v>0.52679544735242312</v>
      </c>
      <c r="O52" s="22">
        <f t="shared" si="6"/>
        <v>7.0717250634122486E-5</v>
      </c>
      <c r="P52" s="22">
        <f t="shared" si="7"/>
        <v>-1.6914428955080696</v>
      </c>
      <c r="Q52" s="22">
        <f t="shared" si="8"/>
        <v>-1.6918367063645037</v>
      </c>
      <c r="R52" s="22">
        <f t="shared" si="9"/>
        <v>-3.9381085643408476E-4</v>
      </c>
      <c r="S52" s="20">
        <f t="shared" si="14"/>
        <v>1.376433935951195</v>
      </c>
      <c r="T52">
        <f t="shared" si="10"/>
        <v>281.72957171309628</v>
      </c>
    </row>
    <row r="53" spans="1:20" x14ac:dyDescent="0.25">
      <c r="A53" s="23">
        <v>215</v>
      </c>
      <c r="B53" s="23" t="s">
        <v>93</v>
      </c>
      <c r="C53" s="23" t="s">
        <v>101</v>
      </c>
      <c r="D53" s="23">
        <v>30.179103999999899</v>
      </c>
      <c r="E53" s="23">
        <v>-96.912539199999898</v>
      </c>
      <c r="F53" s="23">
        <v>30.148746899999999</v>
      </c>
      <c r="G53" s="23">
        <v>-96.6876259</v>
      </c>
      <c r="H53" s="20">
        <f t="shared" si="11"/>
        <v>13.598488034725898</v>
      </c>
      <c r="I53">
        <f t="shared" si="12"/>
        <v>98.929395341968416</v>
      </c>
      <c r="J53" t="str">
        <f t="shared" si="13"/>
        <v>E</v>
      </c>
      <c r="M53" s="21">
        <f t="shared" si="4"/>
        <v>0.526724730101789</v>
      </c>
      <c r="N53" s="21">
        <f t="shared" si="5"/>
        <v>0.52619489875543357</v>
      </c>
      <c r="O53" s="22">
        <f t="shared" si="6"/>
        <v>-5.2983134635542495E-4</v>
      </c>
      <c r="P53" s="22">
        <f t="shared" si="7"/>
        <v>-1.6914428955080696</v>
      </c>
      <c r="Q53" s="22">
        <f t="shared" si="8"/>
        <v>-1.6875174178915457</v>
      </c>
      <c r="R53" s="22">
        <f t="shared" si="9"/>
        <v>3.9254776165238425E-3</v>
      </c>
      <c r="S53" s="20">
        <f t="shared" si="14"/>
        <v>13.598488034725898</v>
      </c>
      <c r="T53">
        <f t="shared" si="10"/>
        <v>98.929395341968416</v>
      </c>
    </row>
    <row r="54" spans="1:20" x14ac:dyDescent="0.25">
      <c r="A54" s="23">
        <v>208</v>
      </c>
      <c r="B54" s="23" t="s">
        <v>93</v>
      </c>
      <c r="C54" s="23" t="s">
        <v>99</v>
      </c>
      <c r="D54" s="23">
        <v>30.179103999999899</v>
      </c>
      <c r="E54" s="23">
        <v>-96.912539199999898</v>
      </c>
      <c r="F54" s="23">
        <v>30.180015900000001</v>
      </c>
      <c r="G54" s="23">
        <v>-96.925450400000003</v>
      </c>
      <c r="H54" s="20">
        <f t="shared" si="11"/>
        <v>0.77372998135745674</v>
      </c>
      <c r="I54">
        <f t="shared" si="12"/>
        <v>274.66762352498876</v>
      </c>
      <c r="J54" t="str">
        <f t="shared" si="13"/>
        <v>W</v>
      </c>
      <c r="M54" s="21">
        <f t="shared" si="4"/>
        <v>0.526724730101789</v>
      </c>
      <c r="N54" s="21">
        <f t="shared" si="5"/>
        <v>0.52674064575923973</v>
      </c>
      <c r="O54" s="22">
        <f t="shared" si="6"/>
        <v>1.5915657450737974E-5</v>
      </c>
      <c r="P54" s="22">
        <f t="shared" si="7"/>
        <v>-1.6914428955080696</v>
      </c>
      <c r="Q54" s="22">
        <f t="shared" si="8"/>
        <v>-1.6916682384584549</v>
      </c>
      <c r="R54" s="22">
        <f t="shared" si="9"/>
        <v>-2.2534295038534324E-4</v>
      </c>
      <c r="S54" s="20">
        <f t="shared" si="14"/>
        <v>0.77372998135745674</v>
      </c>
      <c r="T54">
        <f t="shared" si="10"/>
        <v>274.66762352498876</v>
      </c>
    </row>
    <row r="55" spans="1:20" x14ac:dyDescent="0.25">
      <c r="A55" s="23">
        <v>311</v>
      </c>
      <c r="B55" s="23" t="s">
        <v>93</v>
      </c>
      <c r="C55" s="23" t="s">
        <v>104</v>
      </c>
      <c r="D55" s="23">
        <v>30.179103999999899</v>
      </c>
      <c r="E55" s="23">
        <v>-96.912539199999898</v>
      </c>
      <c r="F55" s="23">
        <v>30.122976000000001</v>
      </c>
      <c r="G55" s="23">
        <v>-96.150473500000004</v>
      </c>
      <c r="H55" s="20">
        <f t="shared" si="11"/>
        <v>45.694616077427021</v>
      </c>
      <c r="I55">
        <f t="shared" si="12"/>
        <v>95.059816100361331</v>
      </c>
      <c r="J55" t="str">
        <f t="shared" si="13"/>
        <v>E</v>
      </c>
      <c r="M55" s="21">
        <f t="shared" si="4"/>
        <v>0.526724730101789</v>
      </c>
      <c r="N55" s="21">
        <f t="shared" si="5"/>
        <v>0.52574511169923144</v>
      </c>
      <c r="O55" s="22">
        <f t="shared" si="6"/>
        <v>-9.7961840255755828E-4</v>
      </c>
      <c r="P55" s="22">
        <f t="shared" si="7"/>
        <v>-1.6914428955080696</v>
      </c>
      <c r="Q55" s="22">
        <f t="shared" si="8"/>
        <v>-1.678142339926556</v>
      </c>
      <c r="R55" s="22">
        <f t="shared" si="9"/>
        <v>1.3300555581513551E-2</v>
      </c>
      <c r="S55" s="20">
        <f t="shared" si="14"/>
        <v>45.694616077427021</v>
      </c>
      <c r="T55">
        <f t="shared" si="10"/>
        <v>95.059816100361331</v>
      </c>
    </row>
    <row r="56" spans="1:20" x14ac:dyDescent="0.25">
      <c r="A56" s="23">
        <v>329</v>
      </c>
      <c r="B56" s="23" t="s">
        <v>93</v>
      </c>
      <c r="C56" s="23" t="s">
        <v>106</v>
      </c>
      <c r="D56" s="23">
        <v>30.179103999999899</v>
      </c>
      <c r="E56" s="23">
        <v>-96.912539199999898</v>
      </c>
      <c r="F56" s="23">
        <v>30.180986999999998</v>
      </c>
      <c r="G56" s="23">
        <v>-96.929727400000004</v>
      </c>
      <c r="H56" s="20">
        <f t="shared" si="11"/>
        <v>1.0348231600755062</v>
      </c>
      <c r="I56">
        <f t="shared" si="12"/>
        <v>277.21828228274012</v>
      </c>
      <c r="J56" t="str">
        <f t="shared" si="13"/>
        <v>W</v>
      </c>
      <c r="M56" s="21">
        <f t="shared" si="4"/>
        <v>0.526724730101789</v>
      </c>
      <c r="N56" s="21">
        <f t="shared" si="5"/>
        <v>0.52675759465160577</v>
      </c>
      <c r="O56" s="22">
        <f t="shared" si="6"/>
        <v>3.2864549816769006E-5</v>
      </c>
      <c r="P56" s="22">
        <f t="shared" si="7"/>
        <v>-1.6914428955080696</v>
      </c>
      <c r="Q56" s="22">
        <f t="shared" si="8"/>
        <v>-1.6917428861905628</v>
      </c>
      <c r="R56" s="22">
        <f t="shared" si="9"/>
        <v>-2.9999068249320082E-4</v>
      </c>
      <c r="S56" s="20">
        <f t="shared" si="14"/>
        <v>1.0348231600755062</v>
      </c>
      <c r="T56">
        <f t="shared" si="10"/>
        <v>277.21828228274012</v>
      </c>
    </row>
    <row r="57" spans="1:20" x14ac:dyDescent="0.25">
      <c r="A57" s="23">
        <v>260</v>
      </c>
      <c r="B57" s="23" t="s">
        <v>93</v>
      </c>
      <c r="C57" s="23" t="s">
        <v>40</v>
      </c>
      <c r="D57" s="23">
        <v>30.179103999999899</v>
      </c>
      <c r="E57" s="23">
        <v>-96.912539199999898</v>
      </c>
      <c r="F57" s="23">
        <v>30.1817563</v>
      </c>
      <c r="G57" s="23">
        <v>-96.933786699999999</v>
      </c>
      <c r="H57" s="20">
        <f t="shared" si="11"/>
        <v>1.282222932771965</v>
      </c>
      <c r="I57">
        <f t="shared" si="12"/>
        <v>278.21155047103224</v>
      </c>
      <c r="J57" t="str">
        <f t="shared" si="13"/>
        <v>W</v>
      </c>
      <c r="M57" s="21">
        <f t="shared" si="4"/>
        <v>0.526724730101789</v>
      </c>
      <c r="N57" s="21">
        <f t="shared" si="5"/>
        <v>0.52677102146954147</v>
      </c>
      <c r="O57" s="22">
        <f t="shared" si="6"/>
        <v>4.6291367752471224E-5</v>
      </c>
      <c r="P57" s="22">
        <f t="shared" si="7"/>
        <v>-1.6914428955080696</v>
      </c>
      <c r="Q57" s="22">
        <f t="shared" si="8"/>
        <v>-1.6918137343408888</v>
      </c>
      <c r="R57" s="22">
        <f t="shared" si="9"/>
        <v>-3.7083883281918695E-4</v>
      </c>
      <c r="S57" s="20">
        <f t="shared" si="14"/>
        <v>1.282222932771965</v>
      </c>
      <c r="T57">
        <f t="shared" si="10"/>
        <v>278.21155047103224</v>
      </c>
    </row>
    <row r="58" spans="1:20" x14ac:dyDescent="0.25">
      <c r="A58" s="23">
        <v>54</v>
      </c>
      <c r="B58" s="23" t="s">
        <v>93</v>
      </c>
      <c r="C58" s="23" t="s">
        <v>97</v>
      </c>
      <c r="D58" s="23">
        <v>30.179103999999899</v>
      </c>
      <c r="E58" s="23">
        <v>-96.912539199999898</v>
      </c>
      <c r="F58" s="23">
        <v>30.176570999999999</v>
      </c>
      <c r="G58" s="23">
        <v>-96.898512699999998</v>
      </c>
      <c r="H58" s="20">
        <f t="shared" si="11"/>
        <v>0.85587452825605981</v>
      </c>
      <c r="I58">
        <f t="shared" si="12"/>
        <v>101.80287118552934</v>
      </c>
      <c r="J58" t="str">
        <f t="shared" si="13"/>
        <v>E</v>
      </c>
      <c r="M58" s="21">
        <f t="shared" si="4"/>
        <v>0.526724730101789</v>
      </c>
      <c r="N58" s="21">
        <f t="shared" si="5"/>
        <v>0.5266805209118377</v>
      </c>
      <c r="O58" s="22">
        <f t="shared" si="6"/>
        <v>-4.4209189951294192E-5</v>
      </c>
      <c r="P58" s="22">
        <f t="shared" si="7"/>
        <v>-1.6914428955080696</v>
      </c>
      <c r="Q58" s="22">
        <f t="shared" si="8"/>
        <v>-1.6911980869005403</v>
      </c>
      <c r="R58" s="22">
        <f t="shared" si="9"/>
        <v>2.448086075292899E-4</v>
      </c>
      <c r="S58" s="20">
        <f t="shared" si="14"/>
        <v>0.85587452825605981</v>
      </c>
      <c r="T58">
        <f t="shared" si="10"/>
        <v>101.80287118552934</v>
      </c>
    </row>
    <row r="59" spans="1:20" x14ac:dyDescent="0.25">
      <c r="A59" s="23">
        <v>56</v>
      </c>
      <c r="B59" s="23" t="s">
        <v>108</v>
      </c>
      <c r="C59" s="23" t="s">
        <v>109</v>
      </c>
      <c r="D59" s="23">
        <v>29.650977999999899</v>
      </c>
      <c r="E59" s="23">
        <v>-97.5924219999999</v>
      </c>
      <c r="F59" s="23">
        <v>29.653662600000001</v>
      </c>
      <c r="G59" s="23">
        <v>-97.594459999999998</v>
      </c>
      <c r="H59" s="20">
        <f t="shared" si="11"/>
        <v>0.22221761073065535</v>
      </c>
      <c r="I59">
        <f t="shared" si="12"/>
        <v>326.58546885232226</v>
      </c>
      <c r="J59" t="str">
        <f t="shared" si="13"/>
        <v>NW</v>
      </c>
      <c r="M59" s="21">
        <f t="shared" si="4"/>
        <v>0.51750719253640143</v>
      </c>
      <c r="N59" s="21">
        <f t="shared" si="5"/>
        <v>0.51755404764550228</v>
      </c>
      <c r="O59" s="22">
        <f t="shared" si="6"/>
        <v>4.6855109100851777E-5</v>
      </c>
      <c r="P59" s="22">
        <f t="shared" si="7"/>
        <v>-1.7033090888957478</v>
      </c>
      <c r="Q59" s="22">
        <f t="shared" si="8"/>
        <v>-1.7033446587059051</v>
      </c>
      <c r="R59" s="22">
        <f t="shared" si="9"/>
        <v>-3.5569810157287662E-5</v>
      </c>
      <c r="S59" s="20">
        <f t="shared" si="14"/>
        <v>0.22221761073065535</v>
      </c>
      <c r="T59">
        <f t="shared" si="10"/>
        <v>326.58546885232226</v>
      </c>
    </row>
    <row r="60" spans="1:20" x14ac:dyDescent="0.25">
      <c r="A60" s="23">
        <v>362</v>
      </c>
      <c r="B60" s="23" t="s">
        <v>216</v>
      </c>
      <c r="C60" s="23" t="s">
        <v>93</v>
      </c>
      <c r="D60" s="23">
        <v>30.159376999999999</v>
      </c>
      <c r="E60" s="23">
        <v>-95.911467999999999</v>
      </c>
      <c r="F60" s="23">
        <v>30.179103999999899</v>
      </c>
      <c r="G60" s="23">
        <v>-96.912539199999898</v>
      </c>
      <c r="H60" s="20">
        <f t="shared" si="11"/>
        <v>59.813597422660422</v>
      </c>
      <c r="I60">
        <f t="shared" si="12"/>
        <v>271.0541529105202</v>
      </c>
      <c r="J60" t="str">
        <f t="shared" si="13"/>
        <v>W</v>
      </c>
      <c r="M60" s="21">
        <f t="shared" si="4"/>
        <v>0.52638042900024984</v>
      </c>
      <c r="N60" s="21">
        <f t="shared" si="5"/>
        <v>0.526724730101789</v>
      </c>
      <c r="O60" s="22">
        <f t="shared" si="6"/>
        <v>3.4430110153915727E-4</v>
      </c>
      <c r="P60" s="22">
        <f t="shared" si="7"/>
        <v>-1.6739709070211808</v>
      </c>
      <c r="Q60" s="22">
        <f t="shared" si="8"/>
        <v>-1.6914428955080696</v>
      </c>
      <c r="R60" s="22">
        <f t="shared" si="9"/>
        <v>-1.7471988486888801E-2</v>
      </c>
      <c r="S60" s="20">
        <f t="shared" si="14"/>
        <v>59.813597422660422</v>
      </c>
      <c r="T60">
        <f t="shared" si="10"/>
        <v>271.0541529105202</v>
      </c>
    </row>
    <row r="61" spans="1:20" x14ac:dyDescent="0.25">
      <c r="A61" s="23">
        <v>308</v>
      </c>
      <c r="B61" s="23" t="s">
        <v>216</v>
      </c>
      <c r="C61" s="23" t="s">
        <v>104</v>
      </c>
      <c r="D61" s="23">
        <v>30.159376999999999</v>
      </c>
      <c r="E61" s="23">
        <v>-95.911467999999999</v>
      </c>
      <c r="F61" s="23">
        <v>30.122976000000001</v>
      </c>
      <c r="G61" s="23">
        <v>-96.150473500000004</v>
      </c>
      <c r="H61" s="20">
        <f t="shared" si="11"/>
        <v>14.500657773111188</v>
      </c>
      <c r="I61">
        <f t="shared" si="12"/>
        <v>259.95183244855338</v>
      </c>
      <c r="J61" t="str">
        <f t="shared" si="13"/>
        <v>W</v>
      </c>
      <c r="M61" s="21">
        <f t="shared" si="4"/>
        <v>0.52638042900024984</v>
      </c>
      <c r="N61" s="21">
        <f t="shared" si="5"/>
        <v>0.52574511169923144</v>
      </c>
      <c r="O61" s="22">
        <f t="shared" si="6"/>
        <v>-6.35317301018401E-4</v>
      </c>
      <c r="P61" s="22">
        <f t="shared" si="7"/>
        <v>-1.6739709070211808</v>
      </c>
      <c r="Q61" s="22">
        <f t="shared" si="8"/>
        <v>-1.678142339926556</v>
      </c>
      <c r="R61" s="22">
        <f t="shared" si="9"/>
        <v>-4.1714329053752497E-3</v>
      </c>
      <c r="S61" s="20">
        <f t="shared" si="14"/>
        <v>14.500657773111188</v>
      </c>
      <c r="T61">
        <f t="shared" si="10"/>
        <v>259.95183244855338</v>
      </c>
    </row>
    <row r="62" spans="1:20" x14ac:dyDescent="0.25">
      <c r="A62" s="23">
        <v>245</v>
      </c>
      <c r="B62" s="23" t="s">
        <v>216</v>
      </c>
      <c r="C62" s="23" t="s">
        <v>189</v>
      </c>
      <c r="D62" s="23">
        <v>30.159376999999999</v>
      </c>
      <c r="E62" s="23">
        <v>-95.911467999999999</v>
      </c>
      <c r="F62" s="23">
        <v>29.991223000000002</v>
      </c>
      <c r="G62" s="23">
        <v>-95.7473083</v>
      </c>
      <c r="H62" s="20">
        <f t="shared" si="11"/>
        <v>15.209377235121002</v>
      </c>
      <c r="I62">
        <f t="shared" si="12"/>
        <v>139.84958720417006</v>
      </c>
      <c r="J62" t="str">
        <f t="shared" si="13"/>
        <v>SE</v>
      </c>
      <c r="M62" s="21">
        <f t="shared" si="4"/>
        <v>0.52638042900024984</v>
      </c>
      <c r="N62" s="21">
        <f t="shared" si="5"/>
        <v>0.52344558804985131</v>
      </c>
      <c r="O62" s="22">
        <f t="shared" si="6"/>
        <v>-2.9348409503985318E-3</v>
      </c>
      <c r="P62" s="22">
        <f t="shared" si="7"/>
        <v>-1.6739709070211808</v>
      </c>
      <c r="Q62" s="22">
        <f t="shared" si="8"/>
        <v>-1.6711057797570945</v>
      </c>
      <c r="R62" s="22">
        <f t="shared" si="9"/>
        <v>2.8651272640862757E-3</v>
      </c>
      <c r="S62" s="20">
        <f t="shared" si="14"/>
        <v>15.209377235121002</v>
      </c>
      <c r="T62">
        <f t="shared" si="10"/>
        <v>139.84958720417006</v>
      </c>
    </row>
    <row r="63" spans="1:20" x14ac:dyDescent="0.25">
      <c r="A63" s="23">
        <v>256</v>
      </c>
      <c r="B63" s="23" t="s">
        <v>216</v>
      </c>
      <c r="C63" s="23" t="s">
        <v>218</v>
      </c>
      <c r="D63" s="23">
        <v>30.159376999999999</v>
      </c>
      <c r="E63" s="23">
        <v>-95.911467999999999</v>
      </c>
      <c r="F63" s="23">
        <v>30.066916599999999</v>
      </c>
      <c r="G63" s="23">
        <v>-95.9219863</v>
      </c>
      <c r="H63" s="20">
        <f t="shared" si="11"/>
        <v>6.4192542171998532</v>
      </c>
      <c r="I63">
        <f t="shared" si="12"/>
        <v>185.61754857416233</v>
      </c>
      <c r="J63" t="str">
        <f t="shared" si="13"/>
        <v>S</v>
      </c>
      <c r="M63" s="21">
        <f t="shared" si="4"/>
        <v>0.52638042900024984</v>
      </c>
      <c r="N63" s="21">
        <f t="shared" si="5"/>
        <v>0.52476669059253889</v>
      </c>
      <c r="O63" s="22">
        <f t="shared" si="6"/>
        <v>-1.6137384077109518E-3</v>
      </c>
      <c r="P63" s="22">
        <f t="shared" si="7"/>
        <v>-1.6739709070211808</v>
      </c>
      <c r="Q63" s="22">
        <f t="shared" si="8"/>
        <v>-1.6741544859878932</v>
      </c>
      <c r="R63" s="22">
        <f t="shared" si="9"/>
        <v>-1.8357896671239438E-4</v>
      </c>
      <c r="S63" s="20">
        <f t="shared" si="14"/>
        <v>6.4192542171998532</v>
      </c>
      <c r="T63">
        <f t="shared" si="10"/>
        <v>185.61754857416233</v>
      </c>
    </row>
    <row r="64" spans="1:20" x14ac:dyDescent="0.25">
      <c r="A64" s="23">
        <v>359</v>
      </c>
      <c r="B64" s="23" t="s">
        <v>216</v>
      </c>
      <c r="C64" s="23" t="s">
        <v>21</v>
      </c>
      <c r="D64" s="23">
        <v>30.159376999999999</v>
      </c>
      <c r="E64" s="23">
        <v>-95.911467999999999</v>
      </c>
      <c r="F64" s="23">
        <v>29.989477399999998</v>
      </c>
      <c r="G64" s="23">
        <v>-95.739615499999999</v>
      </c>
      <c r="H64" s="20">
        <f t="shared" si="11"/>
        <v>15.600800335116075</v>
      </c>
      <c r="I64">
        <f t="shared" si="12"/>
        <v>138.84664990730417</v>
      </c>
      <c r="J64" t="str">
        <f t="shared" si="13"/>
        <v>SE</v>
      </c>
      <c r="M64" s="21">
        <f t="shared" si="4"/>
        <v>0.52638042900024984</v>
      </c>
      <c r="N64" s="21">
        <f t="shared" si="5"/>
        <v>0.52341512158242853</v>
      </c>
      <c r="O64" s="22">
        <f t="shared" si="6"/>
        <v>-2.9653074178213057E-3</v>
      </c>
      <c r="P64" s="22">
        <f t="shared" si="7"/>
        <v>-1.6739709070211808</v>
      </c>
      <c r="Q64" s="22">
        <f t="shared" si="8"/>
        <v>-1.6709715150683973</v>
      </c>
      <c r="R64" s="22">
        <f t="shared" si="9"/>
        <v>2.9993919527835367E-3</v>
      </c>
      <c r="S64" s="20">
        <f t="shared" si="14"/>
        <v>15.600800335116075</v>
      </c>
      <c r="T64">
        <f t="shared" si="10"/>
        <v>138.84664990730417</v>
      </c>
    </row>
    <row r="65" spans="1:20" x14ac:dyDescent="0.25">
      <c r="A65" s="23">
        <v>257</v>
      </c>
      <c r="B65" s="23" t="s">
        <v>216</v>
      </c>
      <c r="C65" s="23" t="s">
        <v>220</v>
      </c>
      <c r="D65" s="23">
        <v>30.159376999999999</v>
      </c>
      <c r="E65" s="23">
        <v>-95.911467999999999</v>
      </c>
      <c r="F65" s="23">
        <v>30.064457999999998</v>
      </c>
      <c r="G65" s="23">
        <v>-95.907744699999995</v>
      </c>
      <c r="H65" s="20">
        <f t="shared" si="11"/>
        <v>6.5620439905347494</v>
      </c>
      <c r="I65">
        <f t="shared" si="12"/>
        <v>178.0574958998854</v>
      </c>
      <c r="J65" t="str">
        <f t="shared" si="13"/>
        <v>S</v>
      </c>
      <c r="M65" s="21">
        <f t="shared" si="4"/>
        <v>0.52638042900024984</v>
      </c>
      <c r="N65" s="21">
        <f t="shared" si="5"/>
        <v>0.52472377992754937</v>
      </c>
      <c r="O65" s="22">
        <f t="shared" si="6"/>
        <v>-1.6566490727004668E-3</v>
      </c>
      <c r="P65" s="22">
        <f t="shared" si="7"/>
        <v>-1.6739709070211808</v>
      </c>
      <c r="Q65" s="22">
        <f t="shared" si="8"/>
        <v>-1.6739059231771412</v>
      </c>
      <c r="R65" s="22">
        <f t="shared" si="9"/>
        <v>6.498384403963442E-5</v>
      </c>
      <c r="S65" s="20">
        <f t="shared" si="14"/>
        <v>6.5620439905347494</v>
      </c>
      <c r="T65">
        <f t="shared" si="10"/>
        <v>178.0574958998854</v>
      </c>
    </row>
    <row r="66" spans="1:20" x14ac:dyDescent="0.25">
      <c r="A66" s="23">
        <v>244</v>
      </c>
      <c r="B66" s="23" t="s">
        <v>216</v>
      </c>
      <c r="C66" s="23" t="s">
        <v>186</v>
      </c>
      <c r="D66" s="23">
        <v>30.159376999999999</v>
      </c>
      <c r="E66" s="23">
        <v>-95.911467999999999</v>
      </c>
      <c r="F66" s="23">
        <v>29.974542</v>
      </c>
      <c r="G66" s="23">
        <v>-95.701357700000003</v>
      </c>
      <c r="H66" s="20">
        <f t="shared" si="11"/>
        <v>17.914895471904959</v>
      </c>
      <c r="I66">
        <f t="shared" si="12"/>
        <v>135.5208922616946</v>
      </c>
      <c r="J66" t="str">
        <f t="shared" si="13"/>
        <v>SE</v>
      </c>
      <c r="M66" s="21">
        <f t="shared" si="4"/>
        <v>0.52638042900024984</v>
      </c>
      <c r="N66" s="21">
        <f t="shared" si="5"/>
        <v>0.52315444967732616</v>
      </c>
      <c r="O66" s="22">
        <f t="shared" si="6"/>
        <v>-3.2259793229236777E-3</v>
      </c>
      <c r="P66" s="22">
        <f t="shared" si="7"/>
        <v>-1.6739709070211808</v>
      </c>
      <c r="Q66" s="22">
        <f t="shared" si="8"/>
        <v>-1.6703037904938278</v>
      </c>
      <c r="R66" s="22">
        <f t="shared" si="9"/>
        <v>3.6671165273529649E-3</v>
      </c>
      <c r="S66" s="20">
        <f t="shared" si="14"/>
        <v>17.914895471904959</v>
      </c>
      <c r="T66">
        <f t="shared" si="10"/>
        <v>135.5208922616946</v>
      </c>
    </row>
    <row r="67" spans="1:20" x14ac:dyDescent="0.25">
      <c r="A67" s="23">
        <v>393</v>
      </c>
      <c r="B67" s="23" t="s">
        <v>216</v>
      </c>
      <c r="C67" s="23" t="s">
        <v>222</v>
      </c>
      <c r="D67" s="23">
        <v>30.159376999999999</v>
      </c>
      <c r="E67" s="23">
        <v>-95.911467999999999</v>
      </c>
      <c r="F67" s="23">
        <v>30.140583599999999</v>
      </c>
      <c r="G67" s="23">
        <v>-96.396528500000002</v>
      </c>
      <c r="H67" s="20">
        <f t="shared" si="11"/>
        <v>29.009449195673728</v>
      </c>
      <c r="I67">
        <f t="shared" si="12"/>
        <v>267.31271567770659</v>
      </c>
      <c r="J67" t="str">
        <f t="shared" si="13"/>
        <v>W</v>
      </c>
      <c r="M67" s="21">
        <f t="shared" si="4"/>
        <v>0.52638042900024984</v>
      </c>
      <c r="N67" s="21">
        <f t="shared" si="5"/>
        <v>0.52605242229260551</v>
      </c>
      <c r="O67" s="22">
        <f t="shared" si="6"/>
        <v>-3.2800670764432382E-4</v>
      </c>
      <c r="P67" s="22">
        <f t="shared" si="7"/>
        <v>-1.6739709070211808</v>
      </c>
      <c r="Q67" s="22">
        <f t="shared" si="8"/>
        <v>-1.6824368098175508</v>
      </c>
      <c r="R67" s="22">
        <f t="shared" si="9"/>
        <v>-8.4659027963700506E-3</v>
      </c>
      <c r="S67" s="20">
        <f t="shared" si="14"/>
        <v>29.009449195673728</v>
      </c>
      <c r="T67">
        <f t="shared" si="10"/>
        <v>267.31271567770659</v>
      </c>
    </row>
    <row r="68" spans="1:20" x14ac:dyDescent="0.25">
      <c r="A68" s="23">
        <v>361</v>
      </c>
      <c r="B68" s="23" t="s">
        <v>216</v>
      </c>
      <c r="C68" s="23" t="s">
        <v>191</v>
      </c>
      <c r="D68" s="23">
        <v>30.159376999999999</v>
      </c>
      <c r="E68" s="23">
        <v>-95.911467999999999</v>
      </c>
      <c r="F68" s="23">
        <v>29.541182800000001</v>
      </c>
      <c r="G68" s="23">
        <v>-95.709348199999994</v>
      </c>
      <c r="H68" s="20">
        <f t="shared" ref="H68:H99" si="15">S68</f>
        <v>44.397238769746046</v>
      </c>
      <c r="I68">
        <f t="shared" ref="I68:I99" si="16">T68</f>
        <v>164.21820748259407</v>
      </c>
      <c r="J68" t="str">
        <f t="shared" ref="J68:J99" si="17">GetBearing(I68,Direction_Precision)</f>
        <v>S</v>
      </c>
      <c r="M68" s="21">
        <f t="shared" si="4"/>
        <v>0.52638042900024984</v>
      </c>
      <c r="N68" s="21">
        <f t="shared" si="5"/>
        <v>0.51559090479351755</v>
      </c>
      <c r="O68" s="22">
        <f t="shared" si="6"/>
        <v>-1.0789524206732293E-2</v>
      </c>
      <c r="P68" s="22">
        <f t="shared" si="7"/>
        <v>-1.6739709070211808</v>
      </c>
      <c r="Q68" s="22">
        <f t="shared" si="8"/>
        <v>-1.6704432510277083</v>
      </c>
      <c r="R68" s="22">
        <f t="shared" si="9"/>
        <v>3.5276559934724894E-3</v>
      </c>
      <c r="S68" s="20">
        <f t="shared" ref="S68:S99" si="18">Planet_Radius*(2*ATAN2(SQRT(1-((SIN(RADIANS(F68-D68)/2)^2)+COS(RADIANS(D68))*COS(RADIANS(F68))*(SIN(RADIANS(G68-E68)/2)^2))),SQRT(((SIN(RADIANS(F68-D68)/2)^2)+COS(RADIANS(D68))*COS(RADIANS(F68))*(SIN(RADIANS(G68-E68)/2)^2)))))</f>
        <v>44.397238769746046</v>
      </c>
      <c r="T68">
        <f t="shared" si="10"/>
        <v>164.21820748259407</v>
      </c>
    </row>
    <row r="69" spans="1:20" x14ac:dyDescent="0.25">
      <c r="A69" s="23">
        <v>59</v>
      </c>
      <c r="B69" s="23" t="s">
        <v>112</v>
      </c>
      <c r="C69" s="23" t="s">
        <v>116</v>
      </c>
      <c r="D69" s="23">
        <v>29.560552999999899</v>
      </c>
      <c r="E69" s="23">
        <v>-95.285661000000005</v>
      </c>
      <c r="F69" s="23">
        <v>29.5688532</v>
      </c>
      <c r="G69" s="23">
        <v>-95.288897399999996</v>
      </c>
      <c r="H69" s="20">
        <f t="shared" si="15"/>
        <v>0.60557312771947835</v>
      </c>
      <c r="I69">
        <f t="shared" si="16"/>
        <v>341.26480460618762</v>
      </c>
      <c r="J69" t="str">
        <f t="shared" si="17"/>
        <v>N</v>
      </c>
      <c r="M69" s="21">
        <f t="shared" ref="M69:M132" si="19">RADIANS(D69)</f>
        <v>0.51592897856028563</v>
      </c>
      <c r="N69" s="21">
        <f t="shared" ref="N69:N132" si="20">RADIANS(F69)</f>
        <v>0.51607384437886139</v>
      </c>
      <c r="O69" s="22">
        <f t="shared" ref="O69:O132" si="21">N69-M69</f>
        <v>1.4486581857575676E-4</v>
      </c>
      <c r="P69" s="22">
        <f t="shared" ref="P69:P132" si="22">RADIANS(E69)</f>
        <v>-1.6630485143891527</v>
      </c>
      <c r="Q69" s="22">
        <f t="shared" ref="Q69:Q132" si="23">RADIANS(G69)</f>
        <v>-1.663105000225064</v>
      </c>
      <c r="R69" s="22">
        <f t="shared" ref="R69:R132" si="24">Q69-P69</f>
        <v>-5.6485835911335158E-5</v>
      </c>
      <c r="S69" s="20">
        <f t="shared" si="18"/>
        <v>0.60557312771947835</v>
      </c>
      <c r="T69">
        <f t="shared" ref="T69:T132" si="25">MOD(DEGREES(ATAN2(COS(N69)*SIN(M69)-SIN(N69)*COS(M69)*COS(-R69),SIN(-R69)*COS(M69)))-180,360)</f>
        <v>341.26480460618762</v>
      </c>
    </row>
    <row r="70" spans="1:20" x14ac:dyDescent="0.25">
      <c r="A70" s="23">
        <v>57</v>
      </c>
      <c r="B70" s="23" t="s">
        <v>112</v>
      </c>
      <c r="C70" s="23" t="s">
        <v>113</v>
      </c>
      <c r="D70" s="23">
        <v>29.560552999999899</v>
      </c>
      <c r="E70" s="23">
        <v>-95.285661000000005</v>
      </c>
      <c r="F70" s="23">
        <v>29.573021000000001</v>
      </c>
      <c r="G70" s="23">
        <v>-95.287872699999994</v>
      </c>
      <c r="H70" s="20">
        <f t="shared" si="15"/>
        <v>0.87164901187476562</v>
      </c>
      <c r="I70">
        <f t="shared" si="16"/>
        <v>351.22841904707798</v>
      </c>
      <c r="J70" t="str">
        <f t="shared" si="17"/>
        <v>N</v>
      </c>
      <c r="M70" s="21">
        <f t="shared" si="19"/>
        <v>0.51592897856028563</v>
      </c>
      <c r="N70" s="21">
        <f t="shared" si="20"/>
        <v>0.51614658621142606</v>
      </c>
      <c r="O70" s="22">
        <f t="shared" si="21"/>
        <v>2.176076511404279E-4</v>
      </c>
      <c r="P70" s="22">
        <f t="shared" si="22"/>
        <v>-1.6630485143891527</v>
      </c>
      <c r="Q70" s="22">
        <f t="shared" si="23"/>
        <v>-1.6630871158362188</v>
      </c>
      <c r="R70" s="22">
        <f t="shared" si="24"/>
        <v>-3.8601447066133332E-5</v>
      </c>
      <c r="S70" s="20">
        <f t="shared" si="18"/>
        <v>0.87164901187476562</v>
      </c>
      <c r="T70">
        <f t="shared" si="25"/>
        <v>351.22841904707798</v>
      </c>
    </row>
    <row r="71" spans="1:20" x14ac:dyDescent="0.25">
      <c r="A71" s="23">
        <v>132</v>
      </c>
      <c r="B71" s="23" t="s">
        <v>118</v>
      </c>
      <c r="C71" s="23" t="s">
        <v>17</v>
      </c>
      <c r="D71" s="23">
        <v>29.5801847</v>
      </c>
      <c r="E71" s="23">
        <v>-95.3904493</v>
      </c>
      <c r="F71" s="23">
        <v>29.559168199999998</v>
      </c>
      <c r="G71" s="23">
        <v>-95.392695599999996</v>
      </c>
      <c r="H71" s="20">
        <f t="shared" si="15"/>
        <v>1.4583608578097453</v>
      </c>
      <c r="I71">
        <f t="shared" si="16"/>
        <v>185.31050517131209</v>
      </c>
      <c r="J71" t="str">
        <f t="shared" si="17"/>
        <v>S</v>
      </c>
      <c r="M71" s="21">
        <f t="shared" si="19"/>
        <v>0.51627161636305108</v>
      </c>
      <c r="N71" s="21">
        <f t="shared" si="20"/>
        <v>0.51590480924080573</v>
      </c>
      <c r="O71" s="22">
        <f t="shared" si="21"/>
        <v>-3.668071222453495E-4</v>
      </c>
      <c r="P71" s="22">
        <f t="shared" si="22"/>
        <v>-1.6648774152417201</v>
      </c>
      <c r="Q71" s="22">
        <f t="shared" si="23"/>
        <v>-1.6649166205727077</v>
      </c>
      <c r="R71" s="22">
        <f t="shared" si="24"/>
        <v>-3.9205330987668319E-5</v>
      </c>
      <c r="S71" s="20">
        <f t="shared" si="18"/>
        <v>1.4583608578097453</v>
      </c>
      <c r="T71">
        <f t="shared" si="25"/>
        <v>185.31050517131209</v>
      </c>
    </row>
    <row r="72" spans="1:20" x14ac:dyDescent="0.25">
      <c r="A72" s="23">
        <v>63</v>
      </c>
      <c r="B72" s="23" t="s">
        <v>118</v>
      </c>
      <c r="C72" s="23" t="s">
        <v>21</v>
      </c>
      <c r="D72" s="23">
        <v>29.5801847</v>
      </c>
      <c r="E72" s="23">
        <v>-95.3904493</v>
      </c>
      <c r="F72" s="23">
        <v>29.5831166</v>
      </c>
      <c r="G72" s="23">
        <v>-95.392047599999998</v>
      </c>
      <c r="H72" s="20">
        <f t="shared" si="15"/>
        <v>0.22418675878953748</v>
      </c>
      <c r="I72">
        <f t="shared" si="16"/>
        <v>334.63472988990588</v>
      </c>
      <c r="J72" t="str">
        <f t="shared" si="17"/>
        <v>NW</v>
      </c>
      <c r="M72" s="21">
        <f t="shared" si="19"/>
        <v>0.51627161636305108</v>
      </c>
      <c r="N72" s="21">
        <f t="shared" si="20"/>
        <v>0.51632278767139039</v>
      </c>
      <c r="O72" s="22">
        <f t="shared" si="21"/>
        <v>5.1171308339315047E-5</v>
      </c>
      <c r="P72" s="22">
        <f t="shared" si="22"/>
        <v>-1.6648774152417201</v>
      </c>
      <c r="Q72" s="22">
        <f t="shared" si="23"/>
        <v>-1.6649053108391547</v>
      </c>
      <c r="R72" s="22">
        <f t="shared" si="24"/>
        <v>-2.7895597434657304E-5</v>
      </c>
      <c r="S72" s="20">
        <f t="shared" si="18"/>
        <v>0.22418675878953748</v>
      </c>
      <c r="T72">
        <f t="shared" si="25"/>
        <v>334.63472988990588</v>
      </c>
    </row>
    <row r="73" spans="1:20" x14ac:dyDescent="0.25">
      <c r="A73" s="23">
        <v>378</v>
      </c>
      <c r="B73" s="23" t="s">
        <v>118</v>
      </c>
      <c r="C73" s="23" t="s">
        <v>113</v>
      </c>
      <c r="D73" s="23">
        <v>29.5801847</v>
      </c>
      <c r="E73" s="23">
        <v>-95.3904493</v>
      </c>
      <c r="F73" s="23">
        <v>29.573021000000001</v>
      </c>
      <c r="G73" s="23">
        <v>-95.287872699999994</v>
      </c>
      <c r="H73" s="20">
        <f t="shared" si="15"/>
        <v>6.1836922536334651</v>
      </c>
      <c r="I73">
        <f t="shared" si="16"/>
        <v>94.616375251194142</v>
      </c>
      <c r="J73" t="str">
        <f t="shared" si="17"/>
        <v>E</v>
      </c>
      <c r="M73" s="21">
        <f t="shared" si="19"/>
        <v>0.51627161636305108</v>
      </c>
      <c r="N73" s="21">
        <f t="shared" si="20"/>
        <v>0.51614658621142606</v>
      </c>
      <c r="O73" s="22">
        <f t="shared" si="21"/>
        <v>-1.2503015162501629E-4</v>
      </c>
      <c r="P73" s="22">
        <f t="shared" si="22"/>
        <v>-1.6648774152417201</v>
      </c>
      <c r="Q73" s="22">
        <f t="shared" si="23"/>
        <v>-1.6630871158362188</v>
      </c>
      <c r="R73" s="22">
        <f t="shared" si="24"/>
        <v>1.7902994055012389E-3</v>
      </c>
      <c r="S73" s="20">
        <f t="shared" si="18"/>
        <v>6.1836922536334651</v>
      </c>
      <c r="T73">
        <f t="shared" si="25"/>
        <v>94.616375251194142</v>
      </c>
    </row>
    <row r="74" spans="1:20" x14ac:dyDescent="0.25">
      <c r="A74" s="23">
        <v>161</v>
      </c>
      <c r="B74" s="23" t="s">
        <v>122</v>
      </c>
      <c r="C74" s="23" t="s">
        <v>57</v>
      </c>
      <c r="D74" s="23">
        <v>29.171845600000001</v>
      </c>
      <c r="E74" s="23">
        <v>-95.433441700000003</v>
      </c>
      <c r="F74" s="23">
        <v>29.183290400000001</v>
      </c>
      <c r="G74" s="23">
        <v>-95.432289699999998</v>
      </c>
      <c r="H74" s="20">
        <f t="shared" si="15"/>
        <v>0.79380725124216345</v>
      </c>
      <c r="I74">
        <f t="shared" si="16"/>
        <v>5.0228156725594886</v>
      </c>
      <c r="J74" t="str">
        <f t="shared" si="17"/>
        <v>N</v>
      </c>
      <c r="M74" s="21">
        <f t="shared" si="19"/>
        <v>0.50914475460342079</v>
      </c>
      <c r="N74" s="21">
        <f t="shared" si="20"/>
        <v>0.50934450404565301</v>
      </c>
      <c r="O74" s="22">
        <f t="shared" si="21"/>
        <v>1.9974944223222213E-4</v>
      </c>
      <c r="P74" s="22">
        <f t="shared" si="22"/>
        <v>-1.6656277741750547</v>
      </c>
      <c r="Q74" s="22">
        <f t="shared" si="23"/>
        <v>-1.6656076679820715</v>
      </c>
      <c r="R74" s="22">
        <f t="shared" si="24"/>
        <v>2.0106192983204707E-5</v>
      </c>
      <c r="S74" s="20">
        <f t="shared" si="18"/>
        <v>0.79380725124216345</v>
      </c>
      <c r="T74">
        <f t="shared" si="25"/>
        <v>5.0228156725594886</v>
      </c>
    </row>
    <row r="75" spans="1:20" x14ac:dyDescent="0.25">
      <c r="A75" s="23">
        <v>68</v>
      </c>
      <c r="B75" s="23" t="s">
        <v>122</v>
      </c>
      <c r="C75" s="23" t="s">
        <v>52</v>
      </c>
      <c r="D75" s="23">
        <v>29.171845600000001</v>
      </c>
      <c r="E75" s="23">
        <v>-95.433441700000003</v>
      </c>
      <c r="F75" s="23">
        <v>29.183040299999998</v>
      </c>
      <c r="G75" s="23">
        <v>-95.435947499999997</v>
      </c>
      <c r="H75" s="20">
        <f t="shared" si="15"/>
        <v>0.78811227188463395</v>
      </c>
      <c r="I75">
        <f t="shared" si="16"/>
        <v>348.94110708677624</v>
      </c>
      <c r="J75" t="str">
        <f t="shared" si="17"/>
        <v>N</v>
      </c>
      <c r="M75" s="21">
        <f t="shared" si="19"/>
        <v>0.50914475460342079</v>
      </c>
      <c r="N75" s="21">
        <f t="shared" si="20"/>
        <v>0.50934013897719377</v>
      </c>
      <c r="O75" s="22">
        <f t="shared" si="21"/>
        <v>1.9538437377297768E-4</v>
      </c>
      <c r="P75" s="22">
        <f t="shared" si="22"/>
        <v>-1.6656277741750547</v>
      </c>
      <c r="Q75" s="22">
        <f t="shared" si="23"/>
        <v>-1.665671508635451</v>
      </c>
      <c r="R75" s="22">
        <f t="shared" si="24"/>
        <v>-4.3734460396294139E-5</v>
      </c>
      <c r="S75" s="20">
        <f t="shared" si="18"/>
        <v>0.78811227188463395</v>
      </c>
      <c r="T75">
        <f t="shared" si="25"/>
        <v>348.94110708677624</v>
      </c>
    </row>
    <row r="76" spans="1:20" x14ac:dyDescent="0.25">
      <c r="A76" s="23">
        <v>187</v>
      </c>
      <c r="B76" s="23" t="s">
        <v>204</v>
      </c>
      <c r="C76" s="23" t="s">
        <v>208</v>
      </c>
      <c r="D76" s="23">
        <v>29.831113999999999</v>
      </c>
      <c r="E76" s="23">
        <v>-98.081267999999994</v>
      </c>
      <c r="F76" s="23">
        <v>29.675220199999998</v>
      </c>
      <c r="G76" s="23">
        <v>-98.154553399999998</v>
      </c>
      <c r="H76" s="20">
        <f t="shared" si="15"/>
        <v>11.633749106748075</v>
      </c>
      <c r="I76">
        <f t="shared" si="16"/>
        <v>202.1834645531149</v>
      </c>
      <c r="J76" t="str">
        <f t="shared" si="17"/>
        <v>S</v>
      </c>
      <c r="M76" s="21">
        <f t="shared" si="19"/>
        <v>0.52065115883777568</v>
      </c>
      <c r="N76" s="21">
        <f t="shared" si="20"/>
        <v>0.51793029874433016</v>
      </c>
      <c r="O76" s="22">
        <f t="shared" si="21"/>
        <v>-2.7208600934455207E-3</v>
      </c>
      <c r="P76" s="22">
        <f t="shared" si="22"/>
        <v>-1.7118410611309536</v>
      </c>
      <c r="Q76" s="22">
        <f t="shared" si="23"/>
        <v>-1.7131201326545946</v>
      </c>
      <c r="R76" s="22">
        <f t="shared" si="24"/>
        <v>-1.2790715236410399E-3</v>
      </c>
      <c r="S76" s="20">
        <f t="shared" si="18"/>
        <v>11.633749106748075</v>
      </c>
      <c r="T76">
        <f t="shared" si="25"/>
        <v>202.1834645531149</v>
      </c>
    </row>
    <row r="77" spans="1:20" x14ac:dyDescent="0.25">
      <c r="A77" s="23">
        <v>376</v>
      </c>
      <c r="B77" s="23" t="s">
        <v>204</v>
      </c>
      <c r="C77" s="23" t="s">
        <v>212</v>
      </c>
      <c r="D77" s="23">
        <v>29.831113999999999</v>
      </c>
      <c r="E77" s="23">
        <v>-98.081267999999994</v>
      </c>
      <c r="F77" s="23">
        <v>29.731024000000001</v>
      </c>
      <c r="G77" s="23">
        <v>-98.079499900000002</v>
      </c>
      <c r="H77" s="20">
        <f t="shared" si="15"/>
        <v>6.9163638264335061</v>
      </c>
      <c r="I77">
        <f t="shared" si="16"/>
        <v>179.12204521734441</v>
      </c>
      <c r="J77" t="str">
        <f t="shared" si="17"/>
        <v>S</v>
      </c>
      <c r="M77" s="21">
        <f t="shared" si="19"/>
        <v>0.52065115883777568</v>
      </c>
      <c r="N77" s="21">
        <f t="shared" si="20"/>
        <v>0.51890425878945468</v>
      </c>
      <c r="O77" s="22">
        <f t="shared" si="21"/>
        <v>-1.7469000483210095E-3</v>
      </c>
      <c r="P77" s="22">
        <f t="shared" si="22"/>
        <v>-1.7118410611309536</v>
      </c>
      <c r="Q77" s="22">
        <f t="shared" si="23"/>
        <v>-1.7118102019644492</v>
      </c>
      <c r="R77" s="22">
        <f t="shared" si="24"/>
        <v>3.0859166504360047E-5</v>
      </c>
      <c r="S77" s="20">
        <f t="shared" si="18"/>
        <v>6.9163638264335061</v>
      </c>
      <c r="T77">
        <f t="shared" si="25"/>
        <v>179.12204521734441</v>
      </c>
    </row>
    <row r="78" spans="1:20" x14ac:dyDescent="0.25">
      <c r="A78" s="23">
        <v>186</v>
      </c>
      <c r="B78" s="23" t="s">
        <v>204</v>
      </c>
      <c r="C78" s="23" t="s">
        <v>205</v>
      </c>
      <c r="D78" s="23">
        <v>29.831113999999999</v>
      </c>
      <c r="E78" s="23">
        <v>-98.081267999999994</v>
      </c>
      <c r="F78" s="23">
        <v>29.684188299999999</v>
      </c>
      <c r="G78" s="23">
        <v>-98.128557200000003</v>
      </c>
      <c r="H78" s="20">
        <f t="shared" si="15"/>
        <v>10.540420178381149</v>
      </c>
      <c r="I78">
        <f t="shared" si="16"/>
        <v>195.59944751961521</v>
      </c>
      <c r="J78" t="str">
        <f t="shared" si="17"/>
        <v>S</v>
      </c>
      <c r="M78" s="21">
        <f t="shared" si="19"/>
        <v>0.52065115883777568</v>
      </c>
      <c r="N78" s="21">
        <f t="shared" si="20"/>
        <v>0.51808682161697828</v>
      </c>
      <c r="O78" s="22">
        <f t="shared" si="21"/>
        <v>-2.564337220797408E-3</v>
      </c>
      <c r="P78" s="22">
        <f t="shared" si="22"/>
        <v>-1.7118410611309536</v>
      </c>
      <c r="Q78" s="22">
        <f t="shared" si="23"/>
        <v>-1.7126664133715879</v>
      </c>
      <c r="R78" s="22">
        <f t="shared" si="24"/>
        <v>-8.2535224063429169E-4</v>
      </c>
      <c r="S78" s="20">
        <f t="shared" si="18"/>
        <v>10.540420178381149</v>
      </c>
      <c r="T78">
        <f t="shared" si="25"/>
        <v>195.59944751961521</v>
      </c>
    </row>
    <row r="79" spans="1:20" x14ac:dyDescent="0.25">
      <c r="A79" s="23">
        <v>395</v>
      </c>
      <c r="B79" s="23" t="s">
        <v>204</v>
      </c>
      <c r="C79" s="23" t="s">
        <v>214</v>
      </c>
      <c r="D79" s="23">
        <v>29.831113999999999</v>
      </c>
      <c r="E79" s="23">
        <v>-98.081267999999994</v>
      </c>
      <c r="F79" s="23">
        <v>30.644951599999999</v>
      </c>
      <c r="G79" s="23">
        <v>-97.691437100000002</v>
      </c>
      <c r="H79" s="20">
        <f t="shared" si="15"/>
        <v>60.855325883190304</v>
      </c>
      <c r="I79">
        <f t="shared" si="16"/>
        <v>22.579670760577471</v>
      </c>
      <c r="J79" t="str">
        <f t="shared" si="17"/>
        <v>NE</v>
      </c>
      <c r="M79" s="21">
        <f t="shared" si="19"/>
        <v>0.52065115883777568</v>
      </c>
      <c r="N79" s="21">
        <f t="shared" si="20"/>
        <v>0.5348553045343043</v>
      </c>
      <c r="O79" s="22">
        <f t="shared" si="21"/>
        <v>1.4204145696528614E-2</v>
      </c>
      <c r="P79" s="22">
        <f t="shared" si="22"/>
        <v>-1.7118410611309536</v>
      </c>
      <c r="Q79" s="22">
        <f t="shared" si="23"/>
        <v>-1.7050372283999409</v>
      </c>
      <c r="R79" s="22">
        <f t="shared" si="24"/>
        <v>6.8038327310127045E-3</v>
      </c>
      <c r="S79" s="20">
        <f t="shared" si="18"/>
        <v>60.855325883190304</v>
      </c>
      <c r="T79">
        <f t="shared" si="25"/>
        <v>22.579670760577471</v>
      </c>
    </row>
    <row r="80" spans="1:20" x14ac:dyDescent="0.25">
      <c r="A80" s="23">
        <v>213</v>
      </c>
      <c r="B80" s="23" t="s">
        <v>204</v>
      </c>
      <c r="C80" s="23" t="s">
        <v>210</v>
      </c>
      <c r="D80" s="23">
        <v>29.831113999999999</v>
      </c>
      <c r="E80" s="23">
        <v>-98.081267999999994</v>
      </c>
      <c r="F80" s="23">
        <v>29.676280999999999</v>
      </c>
      <c r="G80" s="23">
        <v>-98.158152000000001</v>
      </c>
      <c r="H80" s="20">
        <f t="shared" si="15"/>
        <v>11.649668799283964</v>
      </c>
      <c r="I80">
        <f t="shared" si="16"/>
        <v>203.30169003588261</v>
      </c>
      <c r="J80" t="str">
        <f t="shared" si="17"/>
        <v>SW</v>
      </c>
      <c r="M80" s="21">
        <f t="shared" si="19"/>
        <v>0.52065115883777568</v>
      </c>
      <c r="N80" s="21">
        <f t="shared" si="20"/>
        <v>0.51794881319703534</v>
      </c>
      <c r="O80" s="22">
        <f t="shared" si="21"/>
        <v>-2.7023456407403446E-3</v>
      </c>
      <c r="P80" s="22">
        <f t="shared" si="22"/>
        <v>-1.7118410611309536</v>
      </c>
      <c r="Q80" s="22">
        <f t="shared" si="23"/>
        <v>-1.7131829400730572</v>
      </c>
      <c r="R80" s="22">
        <f t="shared" si="24"/>
        <v>-1.3418789421035804E-3</v>
      </c>
      <c r="S80" s="20">
        <f t="shared" si="18"/>
        <v>11.649668799283964</v>
      </c>
      <c r="T80">
        <f t="shared" si="25"/>
        <v>203.30169003588261</v>
      </c>
    </row>
    <row r="81" spans="1:20" x14ac:dyDescent="0.25">
      <c r="A81" s="23">
        <v>293</v>
      </c>
      <c r="B81" s="23" t="s">
        <v>124</v>
      </c>
      <c r="C81" s="23" t="s">
        <v>17</v>
      </c>
      <c r="D81" s="23">
        <v>29.4872064999999</v>
      </c>
      <c r="E81" s="23">
        <v>-95.107407600000002</v>
      </c>
      <c r="F81" s="23">
        <v>29.4624281</v>
      </c>
      <c r="G81" s="23">
        <v>-95.095645500000003</v>
      </c>
      <c r="H81" s="20">
        <f t="shared" si="15"/>
        <v>1.8524508337245846</v>
      </c>
      <c r="I81">
        <f t="shared" si="16"/>
        <v>157.5498713599105</v>
      </c>
      <c r="J81" t="str">
        <f t="shared" si="17"/>
        <v>S</v>
      </c>
      <c r="M81" s="21">
        <f t="shared" si="19"/>
        <v>0.51464884064047156</v>
      </c>
      <c r="N81" s="21">
        <f t="shared" si="20"/>
        <v>0.51421637597709713</v>
      </c>
      <c r="O81" s="22">
        <f t="shared" si="21"/>
        <v>-4.3246466337443223E-4</v>
      </c>
      <c r="P81" s="22">
        <f t="shared" si="22"/>
        <v>-1.6599374056562781</v>
      </c>
      <c r="Q81" s="22">
        <f t="shared" si="23"/>
        <v>-1.6597321182843294</v>
      </c>
      <c r="R81" s="22">
        <f t="shared" si="24"/>
        <v>2.0528737194869251E-4</v>
      </c>
      <c r="S81" s="20">
        <f t="shared" si="18"/>
        <v>1.8524508337245846</v>
      </c>
      <c r="T81">
        <f t="shared" si="25"/>
        <v>157.5498713599105</v>
      </c>
    </row>
    <row r="82" spans="1:20" x14ac:dyDescent="0.25">
      <c r="A82" s="23">
        <v>134</v>
      </c>
      <c r="B82" s="23" t="s">
        <v>124</v>
      </c>
      <c r="C82" s="23" t="s">
        <v>21</v>
      </c>
      <c r="D82" s="23">
        <v>29.4872064999999</v>
      </c>
      <c r="E82" s="23">
        <v>-95.107407600000002</v>
      </c>
      <c r="F82" s="23">
        <v>29.520227299999998</v>
      </c>
      <c r="G82" s="23">
        <v>-95.076726600000001</v>
      </c>
      <c r="H82" s="20">
        <f t="shared" si="15"/>
        <v>2.9341418986715544</v>
      </c>
      <c r="I82">
        <f t="shared" si="16"/>
        <v>38.968431527804</v>
      </c>
      <c r="J82" t="str">
        <f t="shared" si="17"/>
        <v>NE</v>
      </c>
      <c r="M82" s="21">
        <f t="shared" si="19"/>
        <v>0.51464884064047156</v>
      </c>
      <c r="N82" s="21">
        <f t="shared" si="20"/>
        <v>0.51522516232211579</v>
      </c>
      <c r="O82" s="22">
        <f t="shared" si="21"/>
        <v>5.7632168164423181E-4</v>
      </c>
      <c r="P82" s="22">
        <f t="shared" si="22"/>
        <v>-1.6599374056562781</v>
      </c>
      <c r="Q82" s="22">
        <f t="shared" si="23"/>
        <v>-1.6594019211884738</v>
      </c>
      <c r="R82" s="22">
        <f t="shared" si="24"/>
        <v>5.3548446780427028E-4</v>
      </c>
      <c r="S82" s="20">
        <f t="shared" si="18"/>
        <v>2.9341418986715544</v>
      </c>
      <c r="T82">
        <f t="shared" si="25"/>
        <v>38.968431527804</v>
      </c>
    </row>
    <row r="83" spans="1:20" x14ac:dyDescent="0.25">
      <c r="A83" s="23">
        <v>281</v>
      </c>
      <c r="B83" s="23" t="s">
        <v>124</v>
      </c>
      <c r="C83" s="23" t="s">
        <v>128</v>
      </c>
      <c r="D83" s="23">
        <v>29.4872064999999</v>
      </c>
      <c r="E83" s="23">
        <v>-95.107407600000002</v>
      </c>
      <c r="F83" s="23">
        <v>29.468385300000001</v>
      </c>
      <c r="G83" s="23">
        <v>-95.089963600000004</v>
      </c>
      <c r="H83" s="20">
        <f t="shared" si="15"/>
        <v>1.6709253083889632</v>
      </c>
      <c r="I83">
        <f t="shared" si="16"/>
        <v>141.10610119063605</v>
      </c>
      <c r="J83" t="str">
        <f t="shared" si="17"/>
        <v>SE</v>
      </c>
      <c r="M83" s="21">
        <f t="shared" si="19"/>
        <v>0.51464884064047156</v>
      </c>
      <c r="N83" s="21">
        <f t="shared" si="20"/>
        <v>0.51432034873129695</v>
      </c>
      <c r="O83" s="22">
        <f t="shared" si="21"/>
        <v>-3.284919091746108E-4</v>
      </c>
      <c r="P83" s="22">
        <f t="shared" si="22"/>
        <v>-1.6599374056562781</v>
      </c>
      <c r="Q83" s="22">
        <f t="shared" si="23"/>
        <v>-1.6596329504215603</v>
      </c>
      <c r="R83" s="22">
        <f t="shared" si="24"/>
        <v>3.0445523471778202E-4</v>
      </c>
      <c r="S83" s="20">
        <f t="shared" si="18"/>
        <v>1.6709253083889632</v>
      </c>
      <c r="T83">
        <f t="shared" si="25"/>
        <v>141.10610119063605</v>
      </c>
    </row>
    <row r="84" spans="1:20" x14ac:dyDescent="0.25">
      <c r="A84" s="23">
        <v>206</v>
      </c>
      <c r="B84" s="23" t="s">
        <v>124</v>
      </c>
      <c r="C84" s="23" t="s">
        <v>40</v>
      </c>
      <c r="D84" s="23">
        <v>29.4872064999999</v>
      </c>
      <c r="E84" s="23">
        <v>-95.107407600000002</v>
      </c>
      <c r="F84" s="23">
        <v>29.487467299999999</v>
      </c>
      <c r="G84" s="23">
        <v>-95.104729199999994</v>
      </c>
      <c r="H84" s="20">
        <f t="shared" si="15"/>
        <v>0.16209249766431605</v>
      </c>
      <c r="I84">
        <f t="shared" si="16"/>
        <v>83.617994674258227</v>
      </c>
      <c r="J84" t="str">
        <f t="shared" si="17"/>
        <v>E</v>
      </c>
      <c r="M84" s="21">
        <f t="shared" si="19"/>
        <v>0.51464884064047156</v>
      </c>
      <c r="N84" s="21">
        <f t="shared" si="20"/>
        <v>0.51465339245916253</v>
      </c>
      <c r="O84" s="22">
        <f t="shared" si="21"/>
        <v>4.5518186909676572E-6</v>
      </c>
      <c r="P84" s="22">
        <f t="shared" si="22"/>
        <v>-1.6599374056562781</v>
      </c>
      <c r="Q84" s="22">
        <f t="shared" si="23"/>
        <v>-1.6598906587575926</v>
      </c>
      <c r="R84" s="22">
        <f t="shared" si="24"/>
        <v>4.6746898685556815E-5</v>
      </c>
      <c r="S84" s="20">
        <f t="shared" si="18"/>
        <v>0.16209249766431605</v>
      </c>
      <c r="T84">
        <f t="shared" si="25"/>
        <v>83.617994674258227</v>
      </c>
    </row>
    <row r="85" spans="1:20" x14ac:dyDescent="0.25">
      <c r="A85" s="23">
        <v>113</v>
      </c>
      <c r="B85" s="23" t="s">
        <v>131</v>
      </c>
      <c r="C85" s="23" t="s">
        <v>132</v>
      </c>
      <c r="D85" s="23">
        <v>29.586210900000001</v>
      </c>
      <c r="E85" s="23">
        <v>-96.331658300000001</v>
      </c>
      <c r="F85" s="23">
        <v>29.585765599999998</v>
      </c>
      <c r="G85" s="23">
        <v>-96.350599900000006</v>
      </c>
      <c r="H85" s="20">
        <f t="shared" si="15"/>
        <v>1.1385150440045728</v>
      </c>
      <c r="I85">
        <f t="shared" si="16"/>
        <v>268.44677294093628</v>
      </c>
      <c r="J85" t="str">
        <f t="shared" si="17"/>
        <v>W</v>
      </c>
      <c r="M85" s="21">
        <f t="shared" si="19"/>
        <v>0.51637679339443476</v>
      </c>
      <c r="N85" s="21">
        <f t="shared" si="20"/>
        <v>0.51636902144327568</v>
      </c>
      <c r="O85" s="22">
        <f t="shared" si="21"/>
        <v>-7.7719511590856882E-6</v>
      </c>
      <c r="P85" s="22">
        <f t="shared" si="22"/>
        <v>-1.6813046112411234</v>
      </c>
      <c r="Q85" s="22">
        <f t="shared" si="23"/>
        <v>-1.6816352045267193</v>
      </c>
      <c r="R85" s="22">
        <f t="shared" si="24"/>
        <v>-3.3059328559592593E-4</v>
      </c>
      <c r="S85" s="20">
        <f t="shared" si="18"/>
        <v>1.1385150440045728</v>
      </c>
      <c r="T85">
        <f t="shared" si="25"/>
        <v>268.44677294093628</v>
      </c>
    </row>
    <row r="86" spans="1:20" x14ac:dyDescent="0.25">
      <c r="A86" s="23">
        <v>292</v>
      </c>
      <c r="B86" s="23" t="s">
        <v>131</v>
      </c>
      <c r="C86" s="23" t="s">
        <v>140</v>
      </c>
      <c r="D86" s="23">
        <v>29.586210900000001</v>
      </c>
      <c r="E86" s="23">
        <v>-96.331658300000001</v>
      </c>
      <c r="F86" s="23">
        <v>29.585869899999999</v>
      </c>
      <c r="G86" s="23">
        <v>-96.334060699999995</v>
      </c>
      <c r="H86" s="20">
        <f t="shared" si="15"/>
        <v>0.1462574652088561</v>
      </c>
      <c r="I86">
        <f t="shared" si="16"/>
        <v>260.72915450052813</v>
      </c>
      <c r="J86" t="str">
        <f t="shared" si="17"/>
        <v>W</v>
      </c>
      <c r="M86" s="21">
        <f t="shared" si="19"/>
        <v>0.51637679339443476</v>
      </c>
      <c r="N86" s="21">
        <f t="shared" si="20"/>
        <v>0.51637084182168547</v>
      </c>
      <c r="O86" s="22">
        <f t="shared" si="21"/>
        <v>-5.9515727492964743E-6</v>
      </c>
      <c r="P86" s="22">
        <f t="shared" si="22"/>
        <v>-1.6813046112411234</v>
      </c>
      <c r="Q86" s="22">
        <f t="shared" si="23"/>
        <v>-1.6813465410310733</v>
      </c>
      <c r="R86" s="22">
        <f t="shared" si="24"/>
        <v>-4.1929789949879392E-5</v>
      </c>
      <c r="S86" s="20">
        <f t="shared" si="18"/>
        <v>0.1462574652088561</v>
      </c>
      <c r="T86">
        <f t="shared" si="25"/>
        <v>260.72915450052813</v>
      </c>
    </row>
    <row r="87" spans="1:20" x14ac:dyDescent="0.25">
      <c r="A87" s="23">
        <v>114</v>
      </c>
      <c r="B87" s="23" t="s">
        <v>131</v>
      </c>
      <c r="C87" s="23" t="s">
        <v>135</v>
      </c>
      <c r="D87" s="23">
        <v>29.586210900000001</v>
      </c>
      <c r="E87" s="23">
        <v>-96.331658300000001</v>
      </c>
      <c r="F87" s="23">
        <v>29.5792891</v>
      </c>
      <c r="G87" s="23">
        <v>-96.323126500000001</v>
      </c>
      <c r="H87" s="20">
        <f t="shared" si="15"/>
        <v>0.70109184030238114</v>
      </c>
      <c r="I87">
        <f t="shared" si="16"/>
        <v>133.01403022589619</v>
      </c>
      <c r="J87" t="str">
        <f t="shared" si="17"/>
        <v>SE</v>
      </c>
      <c r="M87" s="21">
        <f t="shared" si="19"/>
        <v>0.51637679339443476</v>
      </c>
      <c r="N87" s="21">
        <f t="shared" si="20"/>
        <v>0.51625598519427029</v>
      </c>
      <c r="O87" s="22">
        <f t="shared" si="21"/>
        <v>-1.2080820016446836E-4</v>
      </c>
      <c r="P87" s="22">
        <f t="shared" si="22"/>
        <v>-1.6813046112411234</v>
      </c>
      <c r="Q87" s="22">
        <f t="shared" si="23"/>
        <v>-1.6811557032400017</v>
      </c>
      <c r="R87" s="22">
        <f t="shared" si="24"/>
        <v>1.4890800112166147E-4</v>
      </c>
      <c r="S87" s="20">
        <f t="shared" si="18"/>
        <v>0.70109184030238114</v>
      </c>
      <c r="T87">
        <f t="shared" si="25"/>
        <v>133.01403022589619</v>
      </c>
    </row>
    <row r="88" spans="1:20" x14ac:dyDescent="0.25">
      <c r="A88" s="23">
        <v>344</v>
      </c>
      <c r="B88" s="23" t="s">
        <v>131</v>
      </c>
      <c r="C88" s="23" t="s">
        <v>142</v>
      </c>
      <c r="D88" s="23">
        <v>29.586210900000001</v>
      </c>
      <c r="E88" s="23">
        <v>-96.331658300000001</v>
      </c>
      <c r="F88" s="23">
        <v>29.579248</v>
      </c>
      <c r="G88" s="23">
        <v>-96.3230267</v>
      </c>
      <c r="H88" s="20">
        <f t="shared" si="15"/>
        <v>0.7074167257161611</v>
      </c>
      <c r="I88">
        <f t="shared" si="16"/>
        <v>132.85091577340626</v>
      </c>
      <c r="J88" t="str">
        <f t="shared" si="17"/>
        <v>SE</v>
      </c>
      <c r="M88" s="21">
        <f t="shared" si="19"/>
        <v>0.51637679339443476</v>
      </c>
      <c r="N88" s="21">
        <f t="shared" si="20"/>
        <v>0.51625526786394771</v>
      </c>
      <c r="O88" s="22">
        <f t="shared" si="21"/>
        <v>-1.2152553048705439E-4</v>
      </c>
      <c r="P88" s="22">
        <f t="shared" si="22"/>
        <v>-1.6813046112411234</v>
      </c>
      <c r="Q88" s="22">
        <f t="shared" si="23"/>
        <v>-1.6811539614014084</v>
      </c>
      <c r="R88" s="22">
        <f t="shared" si="24"/>
        <v>1.5064983971502244E-4</v>
      </c>
      <c r="S88" s="20">
        <f t="shared" si="18"/>
        <v>0.7074167257161611</v>
      </c>
      <c r="T88">
        <f t="shared" si="25"/>
        <v>132.85091577340626</v>
      </c>
    </row>
    <row r="89" spans="1:20" x14ac:dyDescent="0.25">
      <c r="A89" s="23">
        <v>162</v>
      </c>
      <c r="B89" s="23" t="s">
        <v>131</v>
      </c>
      <c r="C89" s="23" t="s">
        <v>137</v>
      </c>
      <c r="D89" s="23">
        <v>29.586210900000001</v>
      </c>
      <c r="E89" s="23">
        <v>-96.331658300000001</v>
      </c>
      <c r="F89" s="23">
        <v>29.774025099999999</v>
      </c>
      <c r="G89" s="23">
        <v>-96.136888200000001</v>
      </c>
      <c r="H89" s="20">
        <f t="shared" si="15"/>
        <v>17.466880856487066</v>
      </c>
      <c r="I89">
        <f t="shared" si="16"/>
        <v>42.066494946354965</v>
      </c>
      <c r="J89" t="str">
        <f t="shared" si="17"/>
        <v>NE</v>
      </c>
      <c r="M89" s="21">
        <f t="shared" si="19"/>
        <v>0.51637679339443476</v>
      </c>
      <c r="N89" s="21">
        <f t="shared" si="20"/>
        <v>0.51965476956643397</v>
      </c>
      <c r="O89" s="22">
        <f t="shared" si="21"/>
        <v>3.2779761719992084E-3</v>
      </c>
      <c r="P89" s="22">
        <f t="shared" si="22"/>
        <v>-1.6813046112411234</v>
      </c>
      <c r="Q89" s="22">
        <f t="shared" si="23"/>
        <v>-1.6779052317116849</v>
      </c>
      <c r="R89" s="22">
        <f t="shared" si="24"/>
        <v>3.3993795294384732E-3</v>
      </c>
      <c r="S89" s="20">
        <f t="shared" si="18"/>
        <v>17.466880856487066</v>
      </c>
      <c r="T89">
        <f t="shared" si="25"/>
        <v>42.066494946354965</v>
      </c>
    </row>
    <row r="90" spans="1:20" x14ac:dyDescent="0.25">
      <c r="A90" s="23">
        <v>345</v>
      </c>
      <c r="B90" s="23" t="s">
        <v>131</v>
      </c>
      <c r="C90" s="23" t="s">
        <v>144</v>
      </c>
      <c r="D90" s="23">
        <v>29.586210900000001</v>
      </c>
      <c r="E90" s="23">
        <v>-96.331658300000001</v>
      </c>
      <c r="F90" s="23">
        <v>29.530742400000001</v>
      </c>
      <c r="G90" s="23">
        <v>-96.070609700000006</v>
      </c>
      <c r="H90" s="20">
        <f t="shared" si="15"/>
        <v>16.150592098477713</v>
      </c>
      <c r="I90">
        <f t="shared" si="16"/>
        <v>103.79148282075477</v>
      </c>
      <c r="J90" t="str">
        <f t="shared" si="17"/>
        <v>E</v>
      </c>
      <c r="M90" s="21">
        <f t="shared" si="19"/>
        <v>0.51637679339443476</v>
      </c>
      <c r="N90" s="21">
        <f t="shared" si="20"/>
        <v>0.51540868543829232</v>
      </c>
      <c r="O90" s="22">
        <f t="shared" si="21"/>
        <v>-9.6810795614243883E-4</v>
      </c>
      <c r="P90" s="22">
        <f t="shared" si="22"/>
        <v>-1.6813046112411234</v>
      </c>
      <c r="Q90" s="22">
        <f t="shared" si="23"/>
        <v>-1.6767484536634019</v>
      </c>
      <c r="R90" s="22">
        <f t="shared" si="24"/>
        <v>4.5561575777215424E-3</v>
      </c>
      <c r="S90" s="20">
        <f t="shared" si="18"/>
        <v>16.150592098477713</v>
      </c>
      <c r="T90">
        <f t="shared" si="25"/>
        <v>103.79148282075477</v>
      </c>
    </row>
    <row r="91" spans="1:20" x14ac:dyDescent="0.25">
      <c r="A91" s="23">
        <v>193</v>
      </c>
      <c r="B91" s="23" t="s">
        <v>131</v>
      </c>
      <c r="C91" s="23" t="s">
        <v>85</v>
      </c>
      <c r="D91" s="23">
        <v>29.586210900000001</v>
      </c>
      <c r="E91" s="23">
        <v>-96.331658300000001</v>
      </c>
      <c r="F91" s="23">
        <v>29.5856444</v>
      </c>
      <c r="G91" s="23">
        <v>-96.331341499999994</v>
      </c>
      <c r="H91" s="20">
        <f t="shared" si="15"/>
        <v>4.3524377028801527E-2</v>
      </c>
      <c r="I91">
        <f t="shared" si="16"/>
        <v>154.06597611096578</v>
      </c>
      <c r="J91" t="str">
        <f t="shared" si="17"/>
        <v>SE</v>
      </c>
      <c r="M91" s="21">
        <f t="shared" si="19"/>
        <v>0.51637679339443476</v>
      </c>
      <c r="N91" s="21">
        <f t="shared" si="20"/>
        <v>0.5163669061042222</v>
      </c>
      <c r="O91" s="22">
        <f t="shared" si="21"/>
        <v>-9.8872902125624051E-6</v>
      </c>
      <c r="P91" s="22">
        <f t="shared" si="22"/>
        <v>-1.6813046112411234</v>
      </c>
      <c r="Q91" s="22">
        <f t="shared" si="23"/>
        <v>-1.6812990820380531</v>
      </c>
      <c r="R91" s="22">
        <f t="shared" si="24"/>
        <v>5.5292030702869255E-6</v>
      </c>
      <c r="S91" s="20">
        <f t="shared" si="18"/>
        <v>4.3524377028801527E-2</v>
      </c>
      <c r="T91">
        <f t="shared" si="25"/>
        <v>154.06597611096578</v>
      </c>
    </row>
    <row r="92" spans="1:20" x14ac:dyDescent="0.25">
      <c r="A92" s="23">
        <v>336</v>
      </c>
      <c r="B92" s="23" t="s">
        <v>146</v>
      </c>
      <c r="C92" s="23" t="s">
        <v>34</v>
      </c>
      <c r="D92" s="23">
        <v>29.163871</v>
      </c>
      <c r="E92" s="23">
        <v>-95.454862000000006</v>
      </c>
      <c r="F92" s="23">
        <v>29.021249999999899</v>
      </c>
      <c r="G92" s="23">
        <v>-95.436858999999899</v>
      </c>
      <c r="H92" s="20">
        <f t="shared" si="15"/>
        <v>9.9139255885884072</v>
      </c>
      <c r="I92">
        <f t="shared" si="16"/>
        <v>173.7098709347313</v>
      </c>
      <c r="J92" t="str">
        <f t="shared" si="17"/>
        <v>S</v>
      </c>
      <c r="M92" s="21">
        <f t="shared" si="19"/>
        <v>0.50900557157689119</v>
      </c>
      <c r="N92" s="21">
        <f t="shared" si="20"/>
        <v>0.5065163655444026</v>
      </c>
      <c r="O92" s="22">
        <f t="shared" si="21"/>
        <v>-2.489206032488589E-3</v>
      </c>
      <c r="P92" s="22">
        <f t="shared" si="22"/>
        <v>-1.6660016289368196</v>
      </c>
      <c r="Q92" s="22">
        <f t="shared" si="23"/>
        <v>-1.6656874173115812</v>
      </c>
      <c r="R92" s="22">
        <f t="shared" si="24"/>
        <v>3.1421162523836976E-4</v>
      </c>
      <c r="S92" s="20">
        <f t="shared" si="18"/>
        <v>9.9139255885884072</v>
      </c>
      <c r="T92">
        <f t="shared" si="25"/>
        <v>173.7098709347313</v>
      </c>
    </row>
    <row r="93" spans="1:20" x14ac:dyDescent="0.25">
      <c r="A93" s="23">
        <v>73</v>
      </c>
      <c r="B93" s="23" t="s">
        <v>146</v>
      </c>
      <c r="C93" s="23" t="s">
        <v>147</v>
      </c>
      <c r="D93" s="23">
        <v>29.163871</v>
      </c>
      <c r="E93" s="23">
        <v>-95.454862000000006</v>
      </c>
      <c r="F93" s="23">
        <v>29.163378600000001</v>
      </c>
      <c r="G93" s="23">
        <v>-95.456016500000004</v>
      </c>
      <c r="H93" s="20">
        <f t="shared" si="15"/>
        <v>7.7520616805677595E-2</v>
      </c>
      <c r="I93">
        <f t="shared" si="16"/>
        <v>243.96784729055295</v>
      </c>
      <c r="J93" t="str">
        <f t="shared" si="17"/>
        <v>SW</v>
      </c>
      <c r="M93" s="21">
        <f t="shared" si="19"/>
        <v>0.50900557157689119</v>
      </c>
      <c r="N93" s="21">
        <f t="shared" si="20"/>
        <v>0.50899697757565443</v>
      </c>
      <c r="O93" s="22">
        <f t="shared" si="21"/>
        <v>-8.5940012367613505E-6</v>
      </c>
      <c r="P93" s="22">
        <f t="shared" si="22"/>
        <v>-1.6660016289368196</v>
      </c>
      <c r="Q93" s="22">
        <f t="shared" si="23"/>
        <v>-1.6660217787630338</v>
      </c>
      <c r="R93" s="22">
        <f t="shared" si="24"/>
        <v>-2.0149826214233002E-5</v>
      </c>
      <c r="S93" s="20">
        <f t="shared" si="18"/>
        <v>7.7520616805677595E-2</v>
      </c>
      <c r="T93">
        <f t="shared" si="25"/>
        <v>243.96784729055295</v>
      </c>
    </row>
    <row r="94" spans="1:20" x14ac:dyDescent="0.25">
      <c r="A94" s="23">
        <v>352</v>
      </c>
      <c r="B94" s="23" t="s">
        <v>146</v>
      </c>
      <c r="C94" s="23" t="s">
        <v>17</v>
      </c>
      <c r="D94" s="23">
        <v>29.163871</v>
      </c>
      <c r="E94" s="23">
        <v>-95.454862000000006</v>
      </c>
      <c r="F94" s="23">
        <v>29.0434622</v>
      </c>
      <c r="G94" s="23">
        <v>-95.446926899999994</v>
      </c>
      <c r="H94" s="20">
        <f t="shared" si="15"/>
        <v>8.3332248203662225</v>
      </c>
      <c r="I94">
        <f t="shared" si="16"/>
        <v>176.70643697474134</v>
      </c>
      <c r="J94" t="str">
        <f t="shared" si="17"/>
        <v>S</v>
      </c>
      <c r="M94" s="21">
        <f t="shared" si="19"/>
        <v>0.50900557157689119</v>
      </c>
      <c r="N94" s="21">
        <f t="shared" si="20"/>
        <v>0.50690404156851587</v>
      </c>
      <c r="O94" s="22">
        <f t="shared" si="21"/>
        <v>-2.1015300083753186E-3</v>
      </c>
      <c r="P94" s="22">
        <f t="shared" si="22"/>
        <v>-1.6660016289368196</v>
      </c>
      <c r="Q94" s="22">
        <f t="shared" si="23"/>
        <v>-1.6658631353153444</v>
      </c>
      <c r="R94" s="22">
        <f t="shared" si="24"/>
        <v>1.3849362147522193E-4</v>
      </c>
      <c r="S94" s="20">
        <f t="shared" si="18"/>
        <v>8.3332248203662225</v>
      </c>
      <c r="T94">
        <f t="shared" si="25"/>
        <v>176.70643697474134</v>
      </c>
    </row>
    <row r="95" spans="1:20" x14ac:dyDescent="0.25">
      <c r="A95" s="23">
        <v>75</v>
      </c>
      <c r="B95" s="23" t="s">
        <v>146</v>
      </c>
      <c r="C95" s="23" t="s">
        <v>52</v>
      </c>
      <c r="D95" s="23">
        <v>29.163871</v>
      </c>
      <c r="E95" s="23">
        <v>-95.454862000000006</v>
      </c>
      <c r="F95" s="23">
        <v>29.183040299999998</v>
      </c>
      <c r="G95" s="23">
        <v>-95.435947499999997</v>
      </c>
      <c r="H95" s="20">
        <f t="shared" si="15"/>
        <v>1.7482284194287743</v>
      </c>
      <c r="I95">
        <f t="shared" si="16"/>
        <v>40.750891726523207</v>
      </c>
      <c r="J95" t="str">
        <f t="shared" si="17"/>
        <v>NE</v>
      </c>
      <c r="M95" s="21">
        <f t="shared" si="19"/>
        <v>0.50900557157689119</v>
      </c>
      <c r="N95" s="21">
        <f t="shared" si="20"/>
        <v>0.50934013897719377</v>
      </c>
      <c r="O95" s="22">
        <f t="shared" si="21"/>
        <v>3.345674003025767E-4</v>
      </c>
      <c r="P95" s="22">
        <f t="shared" si="22"/>
        <v>-1.6660016289368196</v>
      </c>
      <c r="Q95" s="22">
        <f t="shared" si="23"/>
        <v>-1.665671508635451</v>
      </c>
      <c r="R95" s="22">
        <f t="shared" si="24"/>
        <v>3.3012030136858606E-4</v>
      </c>
      <c r="S95" s="20">
        <f t="shared" si="18"/>
        <v>1.7482284194287743</v>
      </c>
      <c r="T95">
        <f t="shared" si="25"/>
        <v>40.750891726523207</v>
      </c>
    </row>
    <row r="96" spans="1:20" x14ac:dyDescent="0.25">
      <c r="A96" s="23">
        <v>135</v>
      </c>
      <c r="B96" s="23" t="s">
        <v>146</v>
      </c>
      <c r="C96" s="23" t="s">
        <v>15</v>
      </c>
      <c r="D96" s="23">
        <v>29.163871</v>
      </c>
      <c r="E96" s="23">
        <v>-95.454862000000006</v>
      </c>
      <c r="F96" s="23">
        <v>29.045457500000001</v>
      </c>
      <c r="G96" s="23">
        <v>-95.461303000000001</v>
      </c>
      <c r="H96" s="20">
        <f t="shared" si="15"/>
        <v>8.1908173256495225</v>
      </c>
      <c r="I96">
        <f t="shared" si="16"/>
        <v>182.71942188177701</v>
      </c>
      <c r="J96" t="str">
        <f t="shared" si="17"/>
        <v>S</v>
      </c>
      <c r="M96" s="21">
        <f t="shared" si="19"/>
        <v>0.50900557157689119</v>
      </c>
      <c r="N96" s="21">
        <f t="shared" si="20"/>
        <v>0.50693886612308092</v>
      </c>
      <c r="O96" s="22">
        <f t="shared" si="21"/>
        <v>-2.0667054538102692E-3</v>
      </c>
      <c r="P96" s="22">
        <f t="shared" si="22"/>
        <v>-1.6660016289368196</v>
      </c>
      <c r="Q96" s="22">
        <f t="shared" si="23"/>
        <v>-1.6661140455939405</v>
      </c>
      <c r="R96" s="22">
        <f t="shared" si="24"/>
        <v>-1.1241665712091731E-4</v>
      </c>
      <c r="S96" s="20">
        <f t="shared" si="18"/>
        <v>8.1908173256495225</v>
      </c>
      <c r="T96">
        <f t="shared" si="25"/>
        <v>182.71942188177701</v>
      </c>
    </row>
    <row r="97" spans="1:20" x14ac:dyDescent="0.25">
      <c r="A97" s="23">
        <v>355</v>
      </c>
      <c r="B97" s="23" t="s">
        <v>150</v>
      </c>
      <c r="C97" s="23" t="s">
        <v>156</v>
      </c>
      <c r="D97" s="23">
        <v>30.972145999999899</v>
      </c>
      <c r="E97" s="23">
        <v>-95.889416999999895</v>
      </c>
      <c r="F97" s="23">
        <v>30.964375</v>
      </c>
      <c r="G97" s="23">
        <v>-95.886685299999996</v>
      </c>
      <c r="H97" s="20">
        <f t="shared" si="15"/>
        <v>0.56078428688703119</v>
      </c>
      <c r="I97">
        <f t="shared" si="16"/>
        <v>163.22706105799506</v>
      </c>
      <c r="J97" t="str">
        <f t="shared" si="17"/>
        <v>S</v>
      </c>
      <c r="M97" s="21">
        <f t="shared" si="19"/>
        <v>0.54056592410838988</v>
      </c>
      <c r="N97" s="21">
        <f t="shared" si="20"/>
        <v>0.54043029457221914</v>
      </c>
      <c r="O97" s="22">
        <f t="shared" si="21"/>
        <v>-1.3562953617074491E-4</v>
      </c>
      <c r="P97" s="22">
        <f t="shared" si="22"/>
        <v>-1.6735860444678217</v>
      </c>
      <c r="Q97" s="22">
        <f t="shared" si="23"/>
        <v>-1.6735383673086466</v>
      </c>
      <c r="R97" s="22">
        <f t="shared" si="24"/>
        <v>4.7677159175085748E-5</v>
      </c>
      <c r="S97" s="20">
        <f t="shared" si="18"/>
        <v>0.56078428688703119</v>
      </c>
      <c r="T97">
        <f t="shared" si="25"/>
        <v>163.22706105799506</v>
      </c>
    </row>
    <row r="98" spans="1:20" x14ac:dyDescent="0.25">
      <c r="A98" s="23">
        <v>81</v>
      </c>
      <c r="B98" s="23" t="s">
        <v>150</v>
      </c>
      <c r="C98" s="23" t="s">
        <v>154</v>
      </c>
      <c r="D98" s="23">
        <v>30.972145999999899</v>
      </c>
      <c r="E98" s="23">
        <v>-95.889416999999895</v>
      </c>
      <c r="F98" s="23">
        <v>30.964729500000001</v>
      </c>
      <c r="G98" s="23">
        <v>-95.886650500000002</v>
      </c>
      <c r="H98" s="20">
        <f t="shared" si="15"/>
        <v>0.53800374106850923</v>
      </c>
      <c r="I98">
        <f t="shared" si="16"/>
        <v>162.26404429461741</v>
      </c>
      <c r="J98" t="str">
        <f t="shared" si="17"/>
        <v>S</v>
      </c>
      <c r="M98" s="21">
        <f t="shared" si="19"/>
        <v>0.54056592410838988</v>
      </c>
      <c r="N98" s="21">
        <f t="shared" si="20"/>
        <v>0.5404364817644175</v>
      </c>
      <c r="O98" s="22">
        <f t="shared" si="21"/>
        <v>-1.2944234397238574E-4</v>
      </c>
      <c r="P98" s="22">
        <f t="shared" si="22"/>
        <v>-1.6735860444678217</v>
      </c>
      <c r="Q98" s="22">
        <f t="shared" si="23"/>
        <v>-1.6735377599340671</v>
      </c>
      <c r="R98" s="22">
        <f t="shared" si="24"/>
        <v>4.8284533754605619E-5</v>
      </c>
      <c r="S98" s="20">
        <f t="shared" si="18"/>
        <v>0.53800374106850923</v>
      </c>
      <c r="T98">
        <f t="shared" si="25"/>
        <v>162.26404429461741</v>
      </c>
    </row>
    <row r="99" spans="1:20" x14ac:dyDescent="0.25">
      <c r="A99" s="23">
        <v>79</v>
      </c>
      <c r="B99" s="23" t="s">
        <v>150</v>
      </c>
      <c r="C99" s="23" t="s">
        <v>151</v>
      </c>
      <c r="D99" s="23">
        <v>30.972145999999899</v>
      </c>
      <c r="E99" s="23">
        <v>-95.889416999999895</v>
      </c>
      <c r="F99" s="23">
        <v>30.9645522</v>
      </c>
      <c r="G99" s="23">
        <v>-95.886409599999993</v>
      </c>
      <c r="H99" s="20">
        <f t="shared" si="15"/>
        <v>0.55410734120489991</v>
      </c>
      <c r="I99">
        <f t="shared" si="16"/>
        <v>161.24433024550385</v>
      </c>
      <c r="J99" t="str">
        <f t="shared" si="17"/>
        <v>S</v>
      </c>
      <c r="M99" s="21">
        <f t="shared" si="19"/>
        <v>0.54056592410838988</v>
      </c>
      <c r="N99" s="21">
        <f t="shared" si="20"/>
        <v>0.54043338729565371</v>
      </c>
      <c r="O99" s="22">
        <f t="shared" si="21"/>
        <v>-1.3253681273617257E-4</v>
      </c>
      <c r="P99" s="22">
        <f t="shared" si="22"/>
        <v>-1.6735860444678217</v>
      </c>
      <c r="Q99" s="22">
        <f t="shared" si="23"/>
        <v>-1.673533555435899</v>
      </c>
      <c r="R99" s="22">
        <f t="shared" si="24"/>
        <v>5.2489031922675622E-5</v>
      </c>
      <c r="S99" s="20">
        <f t="shared" si="18"/>
        <v>0.55410734120489991</v>
      </c>
      <c r="T99">
        <f t="shared" si="25"/>
        <v>161.24433024550385</v>
      </c>
    </row>
    <row r="100" spans="1:20" x14ac:dyDescent="0.25">
      <c r="A100" s="23">
        <v>331</v>
      </c>
      <c r="B100" s="23" t="s">
        <v>158</v>
      </c>
      <c r="C100" s="23" t="s">
        <v>163</v>
      </c>
      <c r="D100" s="23">
        <v>29.2159672999999</v>
      </c>
      <c r="E100" s="23">
        <v>-96.285518100000004</v>
      </c>
      <c r="F100" s="23">
        <v>29.1983642</v>
      </c>
      <c r="G100" s="23">
        <v>-96.292557500000001</v>
      </c>
      <c r="H100" s="20">
        <f t="shared" ref="H100:H131" si="26">S100</f>
        <v>1.2882209440614365</v>
      </c>
      <c r="I100">
        <f t="shared" ref="I100:I131" si="27">T100</f>
        <v>199.23998624634675</v>
      </c>
      <c r="J100" t="str">
        <f t="shared" ref="J100:J131" si="28">GetBearing(I100,Direction_Precision)</f>
        <v>S</v>
      </c>
      <c r="M100" s="21">
        <f t="shared" si="19"/>
        <v>0.50991482353999618</v>
      </c>
      <c r="N100" s="21">
        <f t="shared" si="20"/>
        <v>0.50960759148644008</v>
      </c>
      <c r="O100" s="22">
        <f t="shared" si="21"/>
        <v>-3.0723205355609462E-4</v>
      </c>
      <c r="P100" s="22">
        <f t="shared" si="22"/>
        <v>-1.6804993128335948</v>
      </c>
      <c r="Q100" s="22">
        <f t="shared" si="23"/>
        <v>-1.6806221735409597</v>
      </c>
      <c r="R100" s="22">
        <f t="shared" si="24"/>
        <v>-1.228607073648913E-4</v>
      </c>
      <c r="S100" s="20">
        <f t="shared" ref="S100:S131" si="29">Planet_Radius*(2*ATAN2(SQRT(1-((SIN(RADIANS(F100-D100)/2)^2)+COS(RADIANS(D100))*COS(RADIANS(F100))*(SIN(RADIANS(G100-E100)/2)^2))),SQRT(((SIN(RADIANS(F100-D100)/2)^2)+COS(RADIANS(D100))*COS(RADIANS(F100))*(SIN(RADIANS(G100-E100)/2)^2)))))</f>
        <v>1.2882209440614365</v>
      </c>
      <c r="T100">
        <f t="shared" si="25"/>
        <v>199.23998624634675</v>
      </c>
    </row>
    <row r="101" spans="1:20" x14ac:dyDescent="0.25">
      <c r="A101" s="23">
        <v>112</v>
      </c>
      <c r="B101" s="23" t="s">
        <v>158</v>
      </c>
      <c r="C101" s="23" t="s">
        <v>17</v>
      </c>
      <c r="D101" s="23">
        <v>29.2159672999999</v>
      </c>
      <c r="E101" s="23">
        <v>-96.285518100000004</v>
      </c>
      <c r="F101" s="23">
        <v>29.197569000000001</v>
      </c>
      <c r="G101" s="23">
        <v>-96.271555699999993</v>
      </c>
      <c r="H101" s="20">
        <f t="shared" si="26"/>
        <v>1.5247995418226319</v>
      </c>
      <c r="I101">
        <f t="shared" si="27"/>
        <v>146.48237714459688</v>
      </c>
      <c r="J101" t="str">
        <f t="shared" si="28"/>
        <v>SE</v>
      </c>
      <c r="M101" s="21">
        <f t="shared" si="19"/>
        <v>0.50991482353999618</v>
      </c>
      <c r="N101" s="21">
        <f t="shared" si="20"/>
        <v>0.50959371262822828</v>
      </c>
      <c r="O101" s="22">
        <f t="shared" si="21"/>
        <v>-3.2111091176789675E-4</v>
      </c>
      <c r="P101" s="22">
        <f t="shared" si="22"/>
        <v>-1.6804993128335948</v>
      </c>
      <c r="Q101" s="22">
        <f t="shared" si="23"/>
        <v>-1.6802556229821142</v>
      </c>
      <c r="R101" s="22">
        <f t="shared" si="24"/>
        <v>2.4368985148059963E-4</v>
      </c>
      <c r="S101" s="20">
        <f t="shared" si="29"/>
        <v>1.5247995418226319</v>
      </c>
      <c r="T101">
        <f t="shared" si="25"/>
        <v>146.48237714459688</v>
      </c>
    </row>
    <row r="102" spans="1:20" x14ac:dyDescent="0.25">
      <c r="A102" s="23">
        <v>357</v>
      </c>
      <c r="B102" s="23" t="s">
        <v>158</v>
      </c>
      <c r="C102" s="23" t="s">
        <v>167</v>
      </c>
      <c r="D102" s="23">
        <v>29.2159672999999</v>
      </c>
      <c r="E102" s="23">
        <v>-96.285518100000004</v>
      </c>
      <c r="F102" s="23">
        <v>29.179032899999999</v>
      </c>
      <c r="G102" s="23">
        <v>-96.260276599999997</v>
      </c>
      <c r="H102" s="20">
        <f t="shared" si="26"/>
        <v>2.9715469754916946</v>
      </c>
      <c r="I102">
        <f t="shared" si="27"/>
        <v>149.18661233405646</v>
      </c>
      <c r="J102" t="str">
        <f t="shared" si="28"/>
        <v>SE</v>
      </c>
      <c r="M102" s="21">
        <f t="shared" si="19"/>
        <v>0.50991482353999618</v>
      </c>
      <c r="N102" s="21">
        <f t="shared" si="20"/>
        <v>0.50927019665274931</v>
      </c>
      <c r="O102" s="22">
        <f t="shared" si="21"/>
        <v>-6.4462688724686856E-4</v>
      </c>
      <c r="P102" s="22">
        <f t="shared" si="22"/>
        <v>-1.6804993128335948</v>
      </c>
      <c r="Q102" s="22">
        <f t="shared" si="23"/>
        <v>-1.6800587655504526</v>
      </c>
      <c r="R102" s="22">
        <f t="shared" si="24"/>
        <v>4.4054728314213421E-4</v>
      </c>
      <c r="S102" s="20">
        <f t="shared" si="29"/>
        <v>2.9715469754916946</v>
      </c>
      <c r="T102">
        <f t="shared" si="25"/>
        <v>149.18661233405646</v>
      </c>
    </row>
    <row r="103" spans="1:20" x14ac:dyDescent="0.25">
      <c r="A103" s="23">
        <v>85</v>
      </c>
      <c r="B103" s="23" t="s">
        <v>158</v>
      </c>
      <c r="C103" s="23" t="s">
        <v>159</v>
      </c>
      <c r="D103" s="23">
        <v>29.2159672999999</v>
      </c>
      <c r="E103" s="23">
        <v>-96.285518100000004</v>
      </c>
      <c r="F103" s="23">
        <v>29.2000137</v>
      </c>
      <c r="G103" s="23">
        <v>-96.274259700000002</v>
      </c>
      <c r="H103" s="20">
        <f t="shared" si="26"/>
        <v>1.2946218088466224</v>
      </c>
      <c r="I103">
        <f t="shared" si="27"/>
        <v>148.37092136387633</v>
      </c>
      <c r="J103" t="str">
        <f t="shared" si="28"/>
        <v>SE</v>
      </c>
      <c r="M103" s="21">
        <f t="shared" si="19"/>
        <v>0.50991482353999618</v>
      </c>
      <c r="N103" s="21">
        <f t="shared" si="20"/>
        <v>0.50963638069245176</v>
      </c>
      <c r="O103" s="22">
        <f t="shared" si="21"/>
        <v>-2.784428475444134E-4</v>
      </c>
      <c r="P103" s="22">
        <f t="shared" si="22"/>
        <v>-1.6804993128335948</v>
      </c>
      <c r="Q103" s="22">
        <f t="shared" si="23"/>
        <v>-1.6803028166850882</v>
      </c>
      <c r="R103" s="22">
        <f t="shared" si="24"/>
        <v>1.9649614850658637E-4</v>
      </c>
      <c r="S103" s="20">
        <f t="shared" si="29"/>
        <v>1.2946218088466224</v>
      </c>
      <c r="T103">
        <f t="shared" si="25"/>
        <v>148.37092136387633</v>
      </c>
    </row>
    <row r="104" spans="1:20" x14ac:dyDescent="0.25">
      <c r="A104" s="23">
        <v>346</v>
      </c>
      <c r="B104" s="23" t="s">
        <v>158</v>
      </c>
      <c r="C104" s="23" t="s">
        <v>165</v>
      </c>
      <c r="D104" s="23">
        <v>29.2159672999999</v>
      </c>
      <c r="E104" s="23">
        <v>-96.285518100000004</v>
      </c>
      <c r="F104" s="23">
        <v>29.179228999999999</v>
      </c>
      <c r="G104" s="23">
        <v>-96.262467200000003</v>
      </c>
      <c r="H104" s="20">
        <f t="shared" si="26"/>
        <v>2.8941791667278518</v>
      </c>
      <c r="I104">
        <f t="shared" si="27"/>
        <v>151.29544841173251</v>
      </c>
      <c r="J104" t="str">
        <f t="shared" si="28"/>
        <v>SE</v>
      </c>
      <c r="M104" s="21">
        <f t="shared" si="19"/>
        <v>0.50991482353999618</v>
      </c>
      <c r="N104" s="21">
        <f t="shared" si="20"/>
        <v>0.50927361924341252</v>
      </c>
      <c r="O104" s="22">
        <f t="shared" si="21"/>
        <v>-6.4120429658365286E-4</v>
      </c>
      <c r="P104" s="22">
        <f t="shared" si="22"/>
        <v>-1.6804993128335948</v>
      </c>
      <c r="Q104" s="22">
        <f t="shared" si="23"/>
        <v>-1.680096998733047</v>
      </c>
      <c r="R104" s="22">
        <f t="shared" si="24"/>
        <v>4.0231410054780703E-4</v>
      </c>
      <c r="S104" s="20">
        <f t="shared" si="29"/>
        <v>2.8941791667278518</v>
      </c>
      <c r="T104">
        <f t="shared" si="25"/>
        <v>151.29544841173251</v>
      </c>
    </row>
    <row r="105" spans="1:20" x14ac:dyDescent="0.25">
      <c r="A105" s="23">
        <v>204</v>
      </c>
      <c r="B105" s="23" t="s">
        <v>194</v>
      </c>
      <c r="C105" s="23" t="s">
        <v>199</v>
      </c>
      <c r="D105" s="23">
        <v>30.216355</v>
      </c>
      <c r="E105" s="23">
        <v>-97.306731999999997</v>
      </c>
      <c r="F105" s="23">
        <v>30.10351</v>
      </c>
      <c r="G105" s="23">
        <v>-97.286475800000005</v>
      </c>
      <c r="H105" s="20">
        <f t="shared" si="26"/>
        <v>7.8901842823191348</v>
      </c>
      <c r="I105">
        <f t="shared" si="27"/>
        <v>171.18291596007174</v>
      </c>
      <c r="J105" t="str">
        <f t="shared" si="28"/>
        <v>S</v>
      </c>
      <c r="M105" s="21">
        <f t="shared" si="19"/>
        <v>0.52737488270145116</v>
      </c>
      <c r="N105" s="21">
        <f t="shared" si="20"/>
        <v>0.52540536590703824</v>
      </c>
      <c r="O105" s="22">
        <f t="shared" si="21"/>
        <v>-1.9695167944129288E-3</v>
      </c>
      <c r="P105" s="22">
        <f t="shared" si="22"/>
        <v>-1.6983228577557268</v>
      </c>
      <c r="Q105" s="22">
        <f t="shared" si="23"/>
        <v>-1.6979693203717845</v>
      </c>
      <c r="R105" s="22">
        <f t="shared" si="24"/>
        <v>3.5353738394228174E-4</v>
      </c>
      <c r="S105" s="20">
        <f t="shared" si="29"/>
        <v>7.8901842823191348</v>
      </c>
      <c r="T105">
        <f t="shared" si="25"/>
        <v>171.18291596007174</v>
      </c>
    </row>
    <row r="106" spans="1:20" x14ac:dyDescent="0.25">
      <c r="A106" s="23">
        <v>177</v>
      </c>
      <c r="B106" s="23" t="s">
        <v>194</v>
      </c>
      <c r="C106" s="23" t="s">
        <v>195</v>
      </c>
      <c r="D106" s="23">
        <v>30.216355</v>
      </c>
      <c r="E106" s="23">
        <v>-97.306731999999997</v>
      </c>
      <c r="F106" s="23">
        <v>30.1079361</v>
      </c>
      <c r="G106" s="23">
        <v>-97.336055720000004</v>
      </c>
      <c r="H106" s="20">
        <f t="shared" si="26"/>
        <v>7.6931182577372237</v>
      </c>
      <c r="I106">
        <f t="shared" si="27"/>
        <v>193.15459465966222</v>
      </c>
      <c r="J106" t="str">
        <f t="shared" si="28"/>
        <v>S</v>
      </c>
      <c r="M106" s="21">
        <f t="shared" si="19"/>
        <v>0.52737488270145116</v>
      </c>
      <c r="N106" s="21">
        <f t="shared" si="20"/>
        <v>0.52548261592506074</v>
      </c>
      <c r="O106" s="22">
        <f t="shared" si="21"/>
        <v>-1.8922667763904277E-3</v>
      </c>
      <c r="P106" s="22">
        <f t="shared" si="22"/>
        <v>-1.6983228577557268</v>
      </c>
      <c r="Q106" s="22">
        <f t="shared" si="23"/>
        <v>-1.69883465321866</v>
      </c>
      <c r="R106" s="22">
        <f t="shared" si="24"/>
        <v>-5.1179546293322886E-4</v>
      </c>
      <c r="S106" s="20">
        <f t="shared" si="29"/>
        <v>7.6931182577372237</v>
      </c>
      <c r="T106">
        <f t="shared" si="25"/>
        <v>193.15459465966222</v>
      </c>
    </row>
    <row r="107" spans="1:20" x14ac:dyDescent="0.25">
      <c r="A107" s="23">
        <v>356</v>
      </c>
      <c r="B107" s="23" t="s">
        <v>194</v>
      </c>
      <c r="C107" s="23" t="s">
        <v>47</v>
      </c>
      <c r="D107" s="23">
        <v>30.216355</v>
      </c>
      <c r="E107" s="23">
        <v>-97.306731999999997</v>
      </c>
      <c r="F107" s="23">
        <v>30.104101400000001</v>
      </c>
      <c r="G107" s="23">
        <v>-97.333494400000006</v>
      </c>
      <c r="H107" s="20">
        <f t="shared" si="26"/>
        <v>7.9190424855582044</v>
      </c>
      <c r="I107">
        <f t="shared" si="27"/>
        <v>191.64080479691583</v>
      </c>
      <c r="J107" t="str">
        <f t="shared" si="28"/>
        <v>S</v>
      </c>
      <c r="M107" s="21">
        <f t="shared" si="19"/>
        <v>0.52737488270145116</v>
      </c>
      <c r="N107" s="21">
        <f t="shared" si="20"/>
        <v>0.52541568778423453</v>
      </c>
      <c r="O107" s="22">
        <f t="shared" si="21"/>
        <v>-1.9591949172166334E-3</v>
      </c>
      <c r="P107" s="22">
        <f t="shared" si="22"/>
        <v>-1.6983228577557268</v>
      </c>
      <c r="Q107" s="22">
        <f t="shared" si="23"/>
        <v>-1.6987899497514627</v>
      </c>
      <c r="R107" s="22">
        <f t="shared" si="24"/>
        <v>-4.670919957359132E-4</v>
      </c>
      <c r="S107" s="20">
        <f t="shared" si="29"/>
        <v>7.9190424855582044</v>
      </c>
      <c r="T107">
        <f t="shared" si="25"/>
        <v>191.64080479691583</v>
      </c>
    </row>
    <row r="108" spans="1:20" x14ac:dyDescent="0.25">
      <c r="A108" s="23">
        <v>396</v>
      </c>
      <c r="B108" s="23" t="s">
        <v>194</v>
      </c>
      <c r="C108" s="23" t="s">
        <v>202</v>
      </c>
      <c r="D108" s="23">
        <v>30.216355</v>
      </c>
      <c r="E108" s="23">
        <v>-97.306731999999997</v>
      </c>
      <c r="F108" s="23">
        <v>30.220242800000001</v>
      </c>
      <c r="G108" s="23">
        <v>-97.755006100000003</v>
      </c>
      <c r="H108" s="20">
        <f t="shared" si="26"/>
        <v>26.765319766293661</v>
      </c>
      <c r="I108">
        <f t="shared" si="27"/>
        <v>270.4622282666889</v>
      </c>
      <c r="J108" t="str">
        <f t="shared" si="28"/>
        <v>W</v>
      </c>
      <c r="M108" s="21">
        <f t="shared" si="19"/>
        <v>0.52737488270145116</v>
      </c>
      <c r="N108" s="21">
        <f t="shared" si="20"/>
        <v>0.52744273761211025</v>
      </c>
      <c r="O108" s="22">
        <f t="shared" si="21"/>
        <v>6.7854910659082002E-5</v>
      </c>
      <c r="P108" s="22">
        <f t="shared" si="22"/>
        <v>-1.6983228577557268</v>
      </c>
      <c r="Q108" s="22">
        <f t="shared" si="23"/>
        <v>-1.7061467167521414</v>
      </c>
      <c r="R108" s="22">
        <f t="shared" si="24"/>
        <v>-7.8238589964145788E-3</v>
      </c>
      <c r="S108" s="20">
        <f t="shared" si="29"/>
        <v>26.765319766293661</v>
      </c>
      <c r="T108">
        <f t="shared" si="25"/>
        <v>270.4622282666889</v>
      </c>
    </row>
    <row r="109" spans="1:20" x14ac:dyDescent="0.25">
      <c r="A109" s="23">
        <v>203</v>
      </c>
      <c r="B109" s="23" t="s">
        <v>194</v>
      </c>
      <c r="C109" s="23" t="s">
        <v>40</v>
      </c>
      <c r="D109" s="23">
        <v>30.216355</v>
      </c>
      <c r="E109" s="23">
        <v>-97.306731999999997</v>
      </c>
      <c r="F109" s="23">
        <v>30.1098949</v>
      </c>
      <c r="G109" s="23">
        <v>-97.306693100000004</v>
      </c>
      <c r="H109" s="20">
        <f t="shared" si="26"/>
        <v>7.3556828137897812</v>
      </c>
      <c r="I109">
        <f t="shared" si="27"/>
        <v>179.98190888745694</v>
      </c>
      <c r="J109" t="str">
        <f t="shared" si="28"/>
        <v>S</v>
      </c>
      <c r="M109" s="21">
        <f t="shared" si="19"/>
        <v>0.52737488270145116</v>
      </c>
      <c r="N109" s="21">
        <f t="shared" si="20"/>
        <v>0.52551680343444884</v>
      </c>
      <c r="O109" s="22">
        <f t="shared" si="21"/>
        <v>-1.8580792670023216E-3</v>
      </c>
      <c r="P109" s="22">
        <f t="shared" si="22"/>
        <v>-1.6983228577557268</v>
      </c>
      <c r="Q109" s="22">
        <f t="shared" si="23"/>
        <v>-1.6983221788226479</v>
      </c>
      <c r="R109" s="22">
        <f t="shared" si="24"/>
        <v>6.7893307886812693E-7</v>
      </c>
      <c r="S109" s="20">
        <f t="shared" si="29"/>
        <v>7.3556828137897812</v>
      </c>
      <c r="T109">
        <f t="shared" si="25"/>
        <v>179.98190888745694</v>
      </c>
    </row>
    <row r="110" spans="1:20" x14ac:dyDescent="0.25">
      <c r="A110" s="23">
        <v>158</v>
      </c>
      <c r="B110" s="23" t="s">
        <v>34</v>
      </c>
      <c r="C110" s="23" t="s">
        <v>25</v>
      </c>
      <c r="D110" s="23">
        <v>29.021249999999899</v>
      </c>
      <c r="E110" s="23">
        <v>-95.436858999999899</v>
      </c>
      <c r="F110" s="23">
        <v>29.0481102</v>
      </c>
      <c r="G110" s="23">
        <v>-95.465242099999998</v>
      </c>
      <c r="H110" s="20">
        <f t="shared" si="26"/>
        <v>2.5266895760021142</v>
      </c>
      <c r="I110">
        <f t="shared" si="27"/>
        <v>317.25833089840665</v>
      </c>
      <c r="J110" t="str">
        <f t="shared" si="28"/>
        <v>NW</v>
      </c>
      <c r="M110" s="21">
        <f t="shared" si="19"/>
        <v>0.5065163655444026</v>
      </c>
      <c r="N110" s="21">
        <f t="shared" si="20"/>
        <v>0.50698516447214859</v>
      </c>
      <c r="O110" s="22">
        <f t="shared" si="21"/>
        <v>4.6879892774598364E-4</v>
      </c>
      <c r="P110" s="22">
        <f t="shared" si="22"/>
        <v>-1.6656874173115812</v>
      </c>
      <c r="Q110" s="22">
        <f t="shared" si="23"/>
        <v>-1.6661827958585058</v>
      </c>
      <c r="R110" s="22">
        <f t="shared" si="24"/>
        <v>-4.9537854692460748E-4</v>
      </c>
      <c r="S110" s="20">
        <f t="shared" si="29"/>
        <v>2.5266895760021142</v>
      </c>
      <c r="T110">
        <f t="shared" si="25"/>
        <v>317.25833089840665</v>
      </c>
    </row>
    <row r="111" spans="1:20" x14ac:dyDescent="0.25">
      <c r="A111" s="23">
        <v>323</v>
      </c>
      <c r="B111" s="23" t="s">
        <v>34</v>
      </c>
      <c r="C111" s="23" t="s">
        <v>17</v>
      </c>
      <c r="D111" s="23">
        <v>29.021249999999899</v>
      </c>
      <c r="E111" s="23">
        <v>-95.436858999999899</v>
      </c>
      <c r="F111" s="23">
        <v>29.0434622</v>
      </c>
      <c r="G111" s="23">
        <v>-95.446926899999994</v>
      </c>
      <c r="H111" s="20">
        <f t="shared" si="26"/>
        <v>1.650841243066939</v>
      </c>
      <c r="I111">
        <f t="shared" si="27"/>
        <v>338.37884175612459</v>
      </c>
      <c r="J111" t="str">
        <f t="shared" si="28"/>
        <v>N</v>
      </c>
      <c r="M111" s="21">
        <f t="shared" si="19"/>
        <v>0.5065163655444026</v>
      </c>
      <c r="N111" s="21">
        <f t="shared" si="20"/>
        <v>0.50690404156851587</v>
      </c>
      <c r="O111" s="22">
        <f t="shared" si="21"/>
        <v>3.876760241132704E-4</v>
      </c>
      <c r="P111" s="22">
        <f t="shared" si="22"/>
        <v>-1.6656874173115812</v>
      </c>
      <c r="Q111" s="22">
        <f t="shared" si="23"/>
        <v>-1.6658631353153444</v>
      </c>
      <c r="R111" s="22">
        <f t="shared" si="24"/>
        <v>-1.7571800376314783E-4</v>
      </c>
      <c r="S111" s="20">
        <f t="shared" si="29"/>
        <v>1.650841243066939</v>
      </c>
      <c r="T111">
        <f t="shared" si="25"/>
        <v>338.37884175612459</v>
      </c>
    </row>
    <row r="112" spans="1:20" x14ac:dyDescent="0.25">
      <c r="A112" s="23">
        <v>137</v>
      </c>
      <c r="B112" s="23" t="s">
        <v>34</v>
      </c>
      <c r="C112" s="23" t="s">
        <v>15</v>
      </c>
      <c r="D112" s="23">
        <v>29.021249999999899</v>
      </c>
      <c r="E112" s="23">
        <v>-95.436858999999899</v>
      </c>
      <c r="F112" s="23">
        <v>29.045457500000001</v>
      </c>
      <c r="G112" s="23">
        <v>-95.461303000000001</v>
      </c>
      <c r="H112" s="20">
        <f t="shared" si="26"/>
        <v>2.2311671151992467</v>
      </c>
      <c r="I112">
        <f t="shared" si="27"/>
        <v>318.55344841686548</v>
      </c>
      <c r="J112" t="str">
        <f t="shared" si="28"/>
        <v>NW</v>
      </c>
      <c r="M112" s="21">
        <f t="shared" si="19"/>
        <v>0.5065163655444026</v>
      </c>
      <c r="N112" s="21">
        <f t="shared" si="20"/>
        <v>0.50693886612308092</v>
      </c>
      <c r="O112" s="22">
        <f t="shared" si="21"/>
        <v>4.225005786783198E-4</v>
      </c>
      <c r="P112" s="22">
        <f t="shared" si="22"/>
        <v>-1.6656874173115812</v>
      </c>
      <c r="Q112" s="22">
        <f t="shared" si="23"/>
        <v>-1.6661140455939405</v>
      </c>
      <c r="R112" s="22">
        <f t="shared" si="24"/>
        <v>-4.2662828235928707E-4</v>
      </c>
      <c r="S112" s="20">
        <f t="shared" si="29"/>
        <v>2.2311671151992467</v>
      </c>
      <c r="T112">
        <f t="shared" si="25"/>
        <v>318.55344841686548</v>
      </c>
    </row>
    <row r="113" spans="1:20" x14ac:dyDescent="0.25">
      <c r="A113" s="23">
        <v>337</v>
      </c>
      <c r="B113" s="23" t="s">
        <v>169</v>
      </c>
      <c r="C113" s="23" t="s">
        <v>158</v>
      </c>
      <c r="D113" s="23">
        <v>29.331503000000001</v>
      </c>
      <c r="E113" s="23">
        <v>-96.119118999999898</v>
      </c>
      <c r="F113" s="23">
        <v>29.2159672999999</v>
      </c>
      <c r="G113" s="23">
        <v>-96.285518100000004</v>
      </c>
      <c r="H113" s="20">
        <f t="shared" si="26"/>
        <v>12.818007832355319</v>
      </c>
      <c r="I113">
        <f t="shared" si="27"/>
        <v>231.44022572301887</v>
      </c>
      <c r="J113" t="str">
        <f t="shared" si="28"/>
        <v>SW</v>
      </c>
      <c r="M113" s="21">
        <f t="shared" si="19"/>
        <v>0.51193130190859437</v>
      </c>
      <c r="N113" s="21">
        <f t="shared" si="20"/>
        <v>0.50991482353999618</v>
      </c>
      <c r="O113" s="22">
        <f t="shared" si="21"/>
        <v>-2.0164783685981957E-3</v>
      </c>
      <c r="P113" s="22">
        <f t="shared" si="22"/>
        <v>-1.6775951006662377</v>
      </c>
      <c r="Q113" s="22">
        <f t="shared" si="23"/>
        <v>-1.6804993128335948</v>
      </c>
      <c r="R113" s="22">
        <f t="shared" si="24"/>
        <v>-2.9042121673570342E-3</v>
      </c>
      <c r="S113" s="20">
        <f t="shared" si="29"/>
        <v>12.818007832355319</v>
      </c>
      <c r="T113">
        <f t="shared" si="25"/>
        <v>231.44022572301887</v>
      </c>
    </row>
    <row r="114" spans="1:20" x14ac:dyDescent="0.25">
      <c r="A114" s="23">
        <v>348</v>
      </c>
      <c r="B114" s="23" t="s">
        <v>169</v>
      </c>
      <c r="C114" s="23" t="s">
        <v>174</v>
      </c>
      <c r="D114" s="23">
        <v>29.331503000000001</v>
      </c>
      <c r="E114" s="23">
        <v>-96.119118999999898</v>
      </c>
      <c r="F114" s="23">
        <v>29.392162299999999</v>
      </c>
      <c r="G114" s="23">
        <v>-96.078618599999999</v>
      </c>
      <c r="H114" s="20">
        <f t="shared" si="26"/>
        <v>4.8490921158022235</v>
      </c>
      <c r="I114">
        <f t="shared" si="27"/>
        <v>30.205125265246465</v>
      </c>
      <c r="J114" t="str">
        <f t="shared" si="28"/>
        <v>NE</v>
      </c>
      <c r="M114" s="21">
        <f t="shared" si="19"/>
        <v>0.51193130190859437</v>
      </c>
      <c r="N114" s="21">
        <f t="shared" si="20"/>
        <v>0.51299000641554926</v>
      </c>
      <c r="O114" s="22">
        <f t="shared" si="21"/>
        <v>1.0587045069548884E-3</v>
      </c>
      <c r="P114" s="22">
        <f t="shared" si="22"/>
        <v>-1.6775951006662377</v>
      </c>
      <c r="Q114" s="22">
        <f t="shared" si="23"/>
        <v>-1.6768882353378647</v>
      </c>
      <c r="R114" s="22">
        <f t="shared" si="24"/>
        <v>7.0686532837305194E-4</v>
      </c>
      <c r="S114" s="20">
        <f t="shared" si="29"/>
        <v>4.8490921158022235</v>
      </c>
      <c r="T114">
        <f t="shared" si="25"/>
        <v>30.205125265246465</v>
      </c>
    </row>
    <row r="115" spans="1:20" x14ac:dyDescent="0.25">
      <c r="A115" s="23">
        <v>101</v>
      </c>
      <c r="B115" s="23" t="s">
        <v>169</v>
      </c>
      <c r="C115" s="23" t="s">
        <v>47</v>
      </c>
      <c r="D115" s="23">
        <v>29.331503000000001</v>
      </c>
      <c r="E115" s="23">
        <v>-96.119118999999898</v>
      </c>
      <c r="F115" s="23">
        <v>29.327062300000001</v>
      </c>
      <c r="G115" s="23">
        <v>-96.124373199999994</v>
      </c>
      <c r="H115" s="20">
        <f t="shared" si="26"/>
        <v>0.44080640987071756</v>
      </c>
      <c r="I115">
        <f t="shared" si="27"/>
        <v>225.8878680011353</v>
      </c>
      <c r="J115" t="str">
        <f t="shared" si="28"/>
        <v>SW</v>
      </c>
      <c r="M115" s="21">
        <f t="shared" si="19"/>
        <v>0.51193130190859437</v>
      </c>
      <c r="N115" s="21">
        <f t="shared" si="20"/>
        <v>0.511853797072501</v>
      </c>
      <c r="O115" s="22">
        <f t="shared" si="21"/>
        <v>-7.7504836093367224E-5</v>
      </c>
      <c r="P115" s="22">
        <f t="shared" si="22"/>
        <v>-1.6775951006662377</v>
      </c>
      <c r="Q115" s="22">
        <f t="shared" si="23"/>
        <v>-1.6776868037557977</v>
      </c>
      <c r="R115" s="22">
        <f t="shared" si="24"/>
        <v>-9.1703089559969087E-5</v>
      </c>
      <c r="S115" s="20">
        <f t="shared" si="29"/>
        <v>0.44080640987071756</v>
      </c>
      <c r="T115">
        <f t="shared" si="25"/>
        <v>225.8878680011353</v>
      </c>
    </row>
    <row r="116" spans="1:20" x14ac:dyDescent="0.25">
      <c r="A116" s="23">
        <v>147</v>
      </c>
      <c r="B116" s="23" t="s">
        <v>169</v>
      </c>
      <c r="C116" s="23" t="s">
        <v>172</v>
      </c>
      <c r="D116" s="23">
        <v>29.331503000000001</v>
      </c>
      <c r="E116" s="23">
        <v>-96.119118999999898</v>
      </c>
      <c r="F116" s="23">
        <v>29.1569553</v>
      </c>
      <c r="G116" s="23">
        <v>-96.335404499999996</v>
      </c>
      <c r="H116" s="20">
        <f t="shared" si="26"/>
        <v>17.761373420151692</v>
      </c>
      <c r="I116">
        <f t="shared" si="27"/>
        <v>227.18121262598561</v>
      </c>
      <c r="J116" t="str">
        <f t="shared" si="28"/>
        <v>SW</v>
      </c>
      <c r="M116" s="21">
        <f t="shared" si="19"/>
        <v>0.51193130190859437</v>
      </c>
      <c r="N116" s="21">
        <f t="shared" si="20"/>
        <v>0.50888486984181103</v>
      </c>
      <c r="O116" s="22">
        <f t="shared" si="21"/>
        <v>-3.0464320667833444E-3</v>
      </c>
      <c r="P116" s="22">
        <f t="shared" si="22"/>
        <v>-1.6775951006662377</v>
      </c>
      <c r="Q116" s="22">
        <f t="shared" si="23"/>
        <v>-1.6813699947655616</v>
      </c>
      <c r="R116" s="22">
        <f t="shared" si="24"/>
        <v>-3.7748940993238556E-3</v>
      </c>
      <c r="S116" s="20">
        <f t="shared" si="29"/>
        <v>17.761373420151692</v>
      </c>
      <c r="T116">
        <f t="shared" si="25"/>
        <v>227.18121262598561</v>
      </c>
    </row>
    <row r="117" spans="1:20" x14ac:dyDescent="0.25">
      <c r="A117" s="23">
        <v>360</v>
      </c>
      <c r="B117" s="23" t="s">
        <v>169</v>
      </c>
      <c r="C117" s="23" t="s">
        <v>167</v>
      </c>
      <c r="D117" s="23">
        <v>29.331503000000001</v>
      </c>
      <c r="E117" s="23">
        <v>-96.119118999999898</v>
      </c>
      <c r="F117" s="23">
        <v>29.179032899999999</v>
      </c>
      <c r="G117" s="23">
        <v>-96.260276599999997</v>
      </c>
      <c r="H117" s="20">
        <f t="shared" si="26"/>
        <v>13.541903916639418</v>
      </c>
      <c r="I117">
        <f t="shared" si="27"/>
        <v>218.89402311779645</v>
      </c>
      <c r="J117" t="str">
        <f t="shared" si="28"/>
        <v>SW</v>
      </c>
      <c r="M117" s="21">
        <f t="shared" si="19"/>
        <v>0.51193130190859437</v>
      </c>
      <c r="N117" s="21">
        <f t="shared" si="20"/>
        <v>0.50927019665274931</v>
      </c>
      <c r="O117" s="22">
        <f t="shared" si="21"/>
        <v>-2.6611052558450643E-3</v>
      </c>
      <c r="P117" s="22">
        <f t="shared" si="22"/>
        <v>-1.6775951006662377</v>
      </c>
      <c r="Q117" s="22">
        <f t="shared" si="23"/>
        <v>-1.6800587655504526</v>
      </c>
      <c r="R117" s="22">
        <f t="shared" si="24"/>
        <v>-2.4636648842149E-3</v>
      </c>
      <c r="S117" s="20">
        <f t="shared" si="29"/>
        <v>13.541903916639418</v>
      </c>
      <c r="T117">
        <f t="shared" si="25"/>
        <v>218.89402311779645</v>
      </c>
    </row>
    <row r="118" spans="1:20" x14ac:dyDescent="0.25">
      <c r="A118" s="23">
        <v>347</v>
      </c>
      <c r="B118" s="23" t="s">
        <v>169</v>
      </c>
      <c r="C118" s="23" t="s">
        <v>165</v>
      </c>
      <c r="D118" s="23">
        <v>29.331503000000001</v>
      </c>
      <c r="E118" s="23">
        <v>-96.119118999999898</v>
      </c>
      <c r="F118" s="23">
        <v>29.179228999999999</v>
      </c>
      <c r="G118" s="23">
        <v>-96.262467200000003</v>
      </c>
      <c r="H118" s="20">
        <f t="shared" si="26"/>
        <v>13.614786652754425</v>
      </c>
      <c r="I118">
        <f t="shared" si="27"/>
        <v>219.36160232022013</v>
      </c>
      <c r="J118" t="str">
        <f t="shared" si="28"/>
        <v>SW</v>
      </c>
      <c r="M118" s="21">
        <f t="shared" si="19"/>
        <v>0.51193130190859437</v>
      </c>
      <c r="N118" s="21">
        <f t="shared" si="20"/>
        <v>0.50927361924341252</v>
      </c>
      <c r="O118" s="22">
        <f t="shared" si="21"/>
        <v>-2.6576826651818486E-3</v>
      </c>
      <c r="P118" s="22">
        <f t="shared" si="22"/>
        <v>-1.6775951006662377</v>
      </c>
      <c r="Q118" s="22">
        <f t="shared" si="23"/>
        <v>-1.680096998733047</v>
      </c>
      <c r="R118" s="22">
        <f t="shared" si="24"/>
        <v>-2.5018980668092272E-3</v>
      </c>
      <c r="S118" s="20">
        <f t="shared" si="29"/>
        <v>13.614786652754425</v>
      </c>
      <c r="T118">
        <f t="shared" si="25"/>
        <v>219.36160232022013</v>
      </c>
    </row>
    <row r="119" spans="1:20" x14ac:dyDescent="0.25">
      <c r="A119" s="23">
        <v>382</v>
      </c>
      <c r="B119" s="23" t="s">
        <v>176</v>
      </c>
      <c r="C119" s="23" t="s">
        <v>180</v>
      </c>
      <c r="D119" s="23">
        <v>29.554895500000001</v>
      </c>
      <c r="E119" s="23">
        <v>-95.693870200000006</v>
      </c>
      <c r="F119" s="23">
        <v>29.5481032</v>
      </c>
      <c r="G119" s="23">
        <v>-95.699932000000004</v>
      </c>
      <c r="H119" s="20">
        <f t="shared" si="26"/>
        <v>0.59413177497608483</v>
      </c>
      <c r="I119">
        <f t="shared" si="27"/>
        <v>217.82266618615014</v>
      </c>
      <c r="J119" t="str">
        <f t="shared" si="28"/>
        <v>SW</v>
      </c>
      <c r="M119" s="21">
        <f t="shared" si="19"/>
        <v>0.51583023655785576</v>
      </c>
      <c r="N119" s="21">
        <f t="shared" si="20"/>
        <v>0.51571168855907257</v>
      </c>
      <c r="O119" s="22">
        <f t="shared" si="21"/>
        <v>-1.1854799878319167E-4</v>
      </c>
      <c r="P119" s="22">
        <f t="shared" si="22"/>
        <v>-1.6701731089660847</v>
      </c>
      <c r="Q119" s="22">
        <f t="shared" si="23"/>
        <v>-1.670278907334682</v>
      </c>
      <c r="R119" s="22">
        <f t="shared" si="24"/>
        <v>-1.0579836859725411E-4</v>
      </c>
      <c r="S119" s="20">
        <f t="shared" si="29"/>
        <v>0.59413177497608483</v>
      </c>
      <c r="T119">
        <f t="shared" si="25"/>
        <v>217.82266618615014</v>
      </c>
    </row>
    <row r="120" spans="1:20" x14ac:dyDescent="0.25">
      <c r="A120" s="23">
        <v>383</v>
      </c>
      <c r="B120" s="23" t="s">
        <v>176</v>
      </c>
      <c r="C120" s="23" t="s">
        <v>64</v>
      </c>
      <c r="D120" s="23">
        <v>29.554895500000001</v>
      </c>
      <c r="E120" s="23">
        <v>-95.693870200000006</v>
      </c>
      <c r="F120" s="23">
        <v>29.544667199999999</v>
      </c>
      <c r="G120" s="23">
        <v>-95.698522999999994</v>
      </c>
      <c r="H120" s="20">
        <f t="shared" si="26"/>
        <v>0.76003028714502063</v>
      </c>
      <c r="I120">
        <f t="shared" si="27"/>
        <v>201.5888198443356</v>
      </c>
      <c r="J120" t="str">
        <f t="shared" si="28"/>
        <v>S</v>
      </c>
      <c r="M120" s="21">
        <f t="shared" si="19"/>
        <v>0.51583023655785576</v>
      </c>
      <c r="N120" s="21">
        <f t="shared" si="20"/>
        <v>0.51565171904597407</v>
      </c>
      <c r="O120" s="22">
        <f t="shared" si="21"/>
        <v>-1.7851751188169285E-4</v>
      </c>
      <c r="P120" s="22">
        <f t="shared" si="22"/>
        <v>-1.6701731089660847</v>
      </c>
      <c r="Q120" s="22">
        <f t="shared" si="23"/>
        <v>-1.6702543156455214</v>
      </c>
      <c r="R120" s="22">
        <f t="shared" si="24"/>
        <v>-8.1206679436673923E-5</v>
      </c>
      <c r="S120" s="20">
        <f t="shared" si="29"/>
        <v>0.76003028714502063</v>
      </c>
      <c r="T120">
        <f t="shared" si="25"/>
        <v>201.5888198443356</v>
      </c>
    </row>
    <row r="121" spans="1:20" x14ac:dyDescent="0.25">
      <c r="A121" s="23">
        <v>394</v>
      </c>
      <c r="B121" s="23" t="s">
        <v>176</v>
      </c>
      <c r="C121" s="23" t="s">
        <v>183</v>
      </c>
      <c r="D121" s="23">
        <v>29.554895500000001</v>
      </c>
      <c r="E121" s="23">
        <v>-95.693870200000006</v>
      </c>
      <c r="F121" s="23">
        <v>29.557324300000001</v>
      </c>
      <c r="G121" s="23">
        <v>-95.694186520000002</v>
      </c>
      <c r="H121" s="20">
        <f t="shared" si="26"/>
        <v>0.16888734792769539</v>
      </c>
      <c r="I121">
        <f t="shared" si="27"/>
        <v>353.53645310003043</v>
      </c>
      <c r="J121" t="str">
        <f t="shared" si="28"/>
        <v>N</v>
      </c>
      <c r="M121" s="21">
        <f t="shared" si="19"/>
        <v>0.51583023655785576</v>
      </c>
      <c r="N121" s="21">
        <f t="shared" si="20"/>
        <v>0.51587262711472825</v>
      </c>
      <c r="O121" s="22">
        <f t="shared" si="21"/>
        <v>4.2390556872495821E-5</v>
      </c>
      <c r="P121" s="22">
        <f t="shared" si="22"/>
        <v>-1.6701731089660847</v>
      </c>
      <c r="Q121" s="22">
        <f t="shared" si="23"/>
        <v>-1.6701786297915746</v>
      </c>
      <c r="R121" s="22">
        <f t="shared" si="24"/>
        <v>-5.5208254898797549E-6</v>
      </c>
      <c r="S121" s="20">
        <f t="shared" si="29"/>
        <v>0.16888734792769539</v>
      </c>
      <c r="T121">
        <f t="shared" si="25"/>
        <v>353.53645310003043</v>
      </c>
    </row>
    <row r="122" spans="1:20" x14ac:dyDescent="0.25">
      <c r="A122" s="23">
        <v>138</v>
      </c>
      <c r="B122" s="23" t="s">
        <v>176</v>
      </c>
      <c r="C122" s="23" t="s">
        <v>177</v>
      </c>
      <c r="D122" s="23">
        <v>29.554895500000001</v>
      </c>
      <c r="E122" s="23">
        <v>-95.693870200000006</v>
      </c>
      <c r="F122" s="23">
        <v>29.558438800000001</v>
      </c>
      <c r="G122" s="23">
        <v>-95.693673899999993</v>
      </c>
      <c r="H122" s="20">
        <f t="shared" si="26"/>
        <v>0.24510249849700497</v>
      </c>
      <c r="I122">
        <f t="shared" si="27"/>
        <v>2.7590543034140751</v>
      </c>
      <c r="J122" t="str">
        <f t="shared" si="28"/>
        <v>N</v>
      </c>
      <c r="M122" s="21">
        <f t="shared" si="19"/>
        <v>0.51583023655785576</v>
      </c>
      <c r="N122" s="21">
        <f t="shared" si="20"/>
        <v>0.51589207880924171</v>
      </c>
      <c r="O122" s="22">
        <f t="shared" si="21"/>
        <v>6.1842251385946234E-5</v>
      </c>
      <c r="P122" s="22">
        <f t="shared" si="22"/>
        <v>-1.6701731089660847</v>
      </c>
      <c r="Q122" s="22">
        <f t="shared" si="23"/>
        <v>-1.6701696828847628</v>
      </c>
      <c r="R122" s="22">
        <f t="shared" si="24"/>
        <v>3.4260813219777475E-6</v>
      </c>
      <c r="S122" s="20">
        <f t="shared" si="29"/>
        <v>0.24510249849700497</v>
      </c>
      <c r="T122">
        <f t="shared" si="25"/>
        <v>2.7590543034140751</v>
      </c>
    </row>
    <row r="123" spans="1:20" x14ac:dyDescent="0.25">
      <c r="A123" s="23">
        <v>200</v>
      </c>
      <c r="B123" s="23" t="s">
        <v>185</v>
      </c>
      <c r="C123" s="23" t="s">
        <v>189</v>
      </c>
      <c r="D123" s="23">
        <v>29.979521299999899</v>
      </c>
      <c r="E123" s="23">
        <v>-95.717038900000006</v>
      </c>
      <c r="F123" s="23">
        <v>29.991223000000002</v>
      </c>
      <c r="G123" s="23">
        <v>-95.7473083</v>
      </c>
      <c r="H123" s="20">
        <f t="shared" si="26"/>
        <v>1.9837243406876381</v>
      </c>
      <c r="I123">
        <f t="shared" si="27"/>
        <v>294.04480257569031</v>
      </c>
      <c r="J123" t="str">
        <f t="shared" si="28"/>
        <v>NW</v>
      </c>
      <c r="M123" s="21">
        <f t="shared" si="19"/>
        <v>0.52324135485676893</v>
      </c>
      <c r="N123" s="21">
        <f t="shared" si="20"/>
        <v>0.52344558804985131</v>
      </c>
      <c r="O123" s="22">
        <f t="shared" si="21"/>
        <v>2.0423319308238153E-4</v>
      </c>
      <c r="P123" s="22">
        <f t="shared" si="22"/>
        <v>-1.6705774790644916</v>
      </c>
      <c r="Q123" s="22">
        <f t="shared" si="23"/>
        <v>-1.6711057797570945</v>
      </c>
      <c r="R123" s="22">
        <f t="shared" si="24"/>
        <v>-5.2830069260290102E-4</v>
      </c>
      <c r="S123" s="20">
        <f t="shared" si="29"/>
        <v>1.9837243406876381</v>
      </c>
      <c r="T123">
        <f t="shared" si="25"/>
        <v>294.04480257569031</v>
      </c>
    </row>
    <row r="124" spans="1:20" x14ac:dyDescent="0.25">
      <c r="A124" s="23">
        <v>358</v>
      </c>
      <c r="B124" s="23" t="s">
        <v>185</v>
      </c>
      <c r="C124" s="23" t="s">
        <v>21</v>
      </c>
      <c r="D124" s="23">
        <v>29.979521299999899</v>
      </c>
      <c r="E124" s="23">
        <v>-95.717038900000006</v>
      </c>
      <c r="F124" s="23">
        <v>29.989477399999998</v>
      </c>
      <c r="G124" s="23">
        <v>-95.739615499999999</v>
      </c>
      <c r="H124" s="20">
        <f t="shared" si="26"/>
        <v>1.5161545786321422</v>
      </c>
      <c r="I124">
        <f t="shared" si="27"/>
        <v>296.97655847425733</v>
      </c>
      <c r="J124" t="str">
        <f t="shared" si="28"/>
        <v>NW</v>
      </c>
      <c r="M124" s="21">
        <f t="shared" si="19"/>
        <v>0.52324135485676893</v>
      </c>
      <c r="N124" s="21">
        <f t="shared" si="20"/>
        <v>0.52341512158242853</v>
      </c>
      <c r="O124" s="22">
        <f t="shared" si="21"/>
        <v>1.737667256596076E-4</v>
      </c>
      <c r="P124" s="22">
        <f t="shared" si="22"/>
        <v>-1.6705774790644916</v>
      </c>
      <c r="Q124" s="22">
        <f t="shared" si="23"/>
        <v>-1.6709715150683973</v>
      </c>
      <c r="R124" s="22">
        <f t="shared" si="24"/>
        <v>-3.9403600390564009E-4</v>
      </c>
      <c r="S124" s="20">
        <f t="shared" si="29"/>
        <v>1.5161545786321422</v>
      </c>
      <c r="T124">
        <f t="shared" si="25"/>
        <v>296.97655847425733</v>
      </c>
    </row>
    <row r="125" spans="1:20" x14ac:dyDescent="0.25">
      <c r="A125" s="23">
        <v>398</v>
      </c>
      <c r="B125" s="23" t="s">
        <v>185</v>
      </c>
      <c r="C125" s="23" t="s">
        <v>186</v>
      </c>
      <c r="D125" s="23">
        <v>29.979521299999899</v>
      </c>
      <c r="E125" s="23">
        <v>-95.717038900000006</v>
      </c>
      <c r="F125" s="23">
        <v>29.974542</v>
      </c>
      <c r="G125" s="23">
        <v>-95.701357700000003</v>
      </c>
      <c r="H125" s="20">
        <f t="shared" si="26"/>
        <v>0.9995963471339866</v>
      </c>
      <c r="I125">
        <f t="shared" si="27"/>
        <v>110.13538028213051</v>
      </c>
      <c r="J125" t="str">
        <f t="shared" si="28"/>
        <v>E</v>
      </c>
      <c r="M125" s="21">
        <f t="shared" si="19"/>
        <v>0.52324135485676893</v>
      </c>
      <c r="N125" s="21">
        <f t="shared" si="20"/>
        <v>0.52315444967732616</v>
      </c>
      <c r="O125" s="22">
        <f t="shared" si="21"/>
        <v>-8.6905179442764435E-5</v>
      </c>
      <c r="P125" s="22">
        <f t="shared" si="22"/>
        <v>-1.6705774790644916</v>
      </c>
      <c r="Q125" s="22">
        <f t="shared" si="23"/>
        <v>-1.6703037904938278</v>
      </c>
      <c r="R125" s="22">
        <f t="shared" si="24"/>
        <v>2.7368857066378816E-4</v>
      </c>
      <c r="S125" s="20">
        <f t="shared" si="29"/>
        <v>0.9995963471339866</v>
      </c>
      <c r="T125">
        <f t="shared" si="25"/>
        <v>110.13538028213051</v>
      </c>
    </row>
    <row r="126" spans="1:20" x14ac:dyDescent="0.25">
      <c r="A126" s="23">
        <v>279</v>
      </c>
      <c r="B126" s="23" t="s">
        <v>185</v>
      </c>
      <c r="C126" s="23" t="s">
        <v>191</v>
      </c>
      <c r="D126" s="23">
        <v>29.979521299999899</v>
      </c>
      <c r="E126" s="23">
        <v>-95.717038900000006</v>
      </c>
      <c r="F126" s="23">
        <v>29.541182800000001</v>
      </c>
      <c r="G126" s="23">
        <v>-95.709348199999994</v>
      </c>
      <c r="H126" s="20">
        <f t="shared" si="26"/>
        <v>30.289777842779745</v>
      </c>
      <c r="I126">
        <f t="shared" si="27"/>
        <v>179.1292977159186</v>
      </c>
      <c r="J126" t="str">
        <f t="shared" si="28"/>
        <v>S</v>
      </c>
      <c r="M126" s="21">
        <f t="shared" si="19"/>
        <v>0.52324135485676893</v>
      </c>
      <c r="N126" s="21">
        <f t="shared" si="20"/>
        <v>0.51559090479351755</v>
      </c>
      <c r="O126" s="22">
        <f t="shared" si="21"/>
        <v>-7.6504500632513794E-3</v>
      </c>
      <c r="P126" s="22">
        <f t="shared" si="22"/>
        <v>-1.6705774790644916</v>
      </c>
      <c r="Q126" s="22">
        <f t="shared" si="23"/>
        <v>-1.6704432510277083</v>
      </c>
      <c r="R126" s="22">
        <f t="shared" si="24"/>
        <v>1.3422803678331263E-4</v>
      </c>
      <c r="S126" s="20">
        <f t="shared" si="29"/>
        <v>30.289777842779745</v>
      </c>
      <c r="T126">
        <f t="shared" si="25"/>
        <v>179.1292977159186</v>
      </c>
    </row>
    <row r="127" spans="1:20" x14ac:dyDescent="0.25">
      <c r="A127" s="23">
        <v>391</v>
      </c>
      <c r="B127" s="23" t="s">
        <v>224</v>
      </c>
      <c r="C127" s="23" t="s">
        <v>228</v>
      </c>
      <c r="D127" s="23">
        <v>29.429254700000001</v>
      </c>
      <c r="E127" s="23">
        <v>-95.065006999999994</v>
      </c>
      <c r="F127" s="23">
        <v>29.263190000000002</v>
      </c>
      <c r="G127" s="23">
        <v>-94.835825</v>
      </c>
      <c r="H127" s="20">
        <f t="shared" si="26"/>
        <v>17.949148725990664</v>
      </c>
      <c r="I127">
        <f t="shared" si="27"/>
        <v>129.79187720329236</v>
      </c>
      <c r="J127" t="str">
        <f t="shared" si="28"/>
        <v>SE</v>
      </c>
      <c r="M127" s="21">
        <f t="shared" si="19"/>
        <v>0.51363739092301608</v>
      </c>
      <c r="N127" s="21">
        <f t="shared" si="20"/>
        <v>0.51073901513667952</v>
      </c>
      <c r="O127" s="22">
        <f t="shared" si="21"/>
        <v>-2.89837578633656E-3</v>
      </c>
      <c r="P127" s="22">
        <f t="shared" si="22"/>
        <v>-1.6591973755814569</v>
      </c>
      <c r="Q127" s="22">
        <f t="shared" si="23"/>
        <v>-1.6551973950951513</v>
      </c>
      <c r="R127" s="22">
        <f t="shared" si="24"/>
        <v>3.9999804863055655E-3</v>
      </c>
      <c r="S127" s="20">
        <f t="shared" si="29"/>
        <v>17.949148725990664</v>
      </c>
      <c r="T127">
        <f t="shared" si="25"/>
        <v>129.79187720329236</v>
      </c>
    </row>
    <row r="128" spans="1:20" x14ac:dyDescent="0.25">
      <c r="A128" s="23">
        <v>392</v>
      </c>
      <c r="B128" s="23" t="s">
        <v>224</v>
      </c>
      <c r="C128" s="23" t="s">
        <v>230</v>
      </c>
      <c r="D128" s="23">
        <v>29.429254700000001</v>
      </c>
      <c r="E128" s="23">
        <v>-95.065006999999994</v>
      </c>
      <c r="F128" s="23">
        <v>29.630600999999999</v>
      </c>
      <c r="G128" s="23">
        <v>-95.236854300000005</v>
      </c>
      <c r="H128" s="20">
        <f t="shared" si="26"/>
        <v>17.328204919402367</v>
      </c>
      <c r="I128">
        <f t="shared" si="27"/>
        <v>323.35924846420187</v>
      </c>
      <c r="J128" t="str">
        <f t="shared" si="28"/>
        <v>NW</v>
      </c>
      <c r="M128" s="21">
        <f t="shared" si="19"/>
        <v>0.51363739092301608</v>
      </c>
      <c r="N128" s="21">
        <f t="shared" si="20"/>
        <v>0.5171515467947243</v>
      </c>
      <c r="O128" s="22">
        <f t="shared" si="21"/>
        <v>3.5141558717082244E-3</v>
      </c>
      <c r="P128" s="22">
        <f t="shared" si="22"/>
        <v>-1.6591973755814569</v>
      </c>
      <c r="Q128" s="22">
        <f t="shared" si="23"/>
        <v>-1.6621966767771195</v>
      </c>
      <c r="R128" s="22">
        <f t="shared" si="24"/>
        <v>-2.999301195662607E-3</v>
      </c>
      <c r="S128" s="20">
        <f t="shared" si="29"/>
        <v>17.328204919402367</v>
      </c>
      <c r="T128">
        <f t="shared" si="25"/>
        <v>323.35924846420187</v>
      </c>
    </row>
    <row r="129" spans="1:20" x14ac:dyDescent="0.25">
      <c r="A129" s="23">
        <v>268</v>
      </c>
      <c r="B129" s="23" t="s">
        <v>224</v>
      </c>
      <c r="C129" s="23" t="s">
        <v>225</v>
      </c>
      <c r="D129" s="23">
        <v>29.429254700000001</v>
      </c>
      <c r="E129" s="23">
        <v>-95.065006999999994</v>
      </c>
      <c r="F129" s="23">
        <v>29.404225499999999</v>
      </c>
      <c r="G129" s="23">
        <v>-95.038495100000006</v>
      </c>
      <c r="H129" s="20">
        <f t="shared" si="26"/>
        <v>2.3530119546963988</v>
      </c>
      <c r="I129">
        <f t="shared" si="27"/>
        <v>137.30966428909448</v>
      </c>
      <c r="J129" t="str">
        <f t="shared" si="28"/>
        <v>SE</v>
      </c>
      <c r="M129" s="21">
        <f t="shared" si="19"/>
        <v>0.51363739092301608</v>
      </c>
      <c r="N129" s="21">
        <f t="shared" si="20"/>
        <v>0.5132005489738759</v>
      </c>
      <c r="O129" s="22">
        <f t="shared" si="21"/>
        <v>-4.3684194914017649E-4</v>
      </c>
      <c r="P129" s="22">
        <f t="shared" si="22"/>
        <v>-1.6591973755814569</v>
      </c>
      <c r="Q129" s="22">
        <f t="shared" si="23"/>
        <v>-1.6587346556354976</v>
      </c>
      <c r="R129" s="22">
        <f t="shared" si="24"/>
        <v>4.627199459592557E-4</v>
      </c>
      <c r="S129" s="20">
        <f t="shared" si="29"/>
        <v>2.3530119546963988</v>
      </c>
      <c r="T129">
        <f t="shared" si="25"/>
        <v>137.30966428909448</v>
      </c>
    </row>
    <row r="130" spans="1:20" x14ac:dyDescent="0.25">
      <c r="A130" s="23">
        <v>269</v>
      </c>
      <c r="B130" s="23" t="s">
        <v>224</v>
      </c>
      <c r="C130" s="23" t="s">
        <v>128</v>
      </c>
      <c r="D130" s="23">
        <v>29.429254700000001</v>
      </c>
      <c r="E130" s="23">
        <v>-95.065006999999994</v>
      </c>
      <c r="F130" s="23">
        <v>29.468385300000001</v>
      </c>
      <c r="G130" s="23">
        <v>-95.089963600000004</v>
      </c>
      <c r="H130" s="20">
        <f t="shared" si="26"/>
        <v>3.0926403373904994</v>
      </c>
      <c r="I130">
        <f t="shared" si="27"/>
        <v>330.9472434014931</v>
      </c>
      <c r="J130" t="str">
        <f t="shared" si="28"/>
        <v>NW</v>
      </c>
      <c r="M130" s="21">
        <f t="shared" si="19"/>
        <v>0.51363739092301608</v>
      </c>
      <c r="N130" s="21">
        <f t="shared" si="20"/>
        <v>0.51432034873129695</v>
      </c>
      <c r="O130" s="22">
        <f t="shared" si="21"/>
        <v>6.8295780828087072E-4</v>
      </c>
      <c r="P130" s="22">
        <f t="shared" si="22"/>
        <v>-1.6591973755814569</v>
      </c>
      <c r="Q130" s="22">
        <f t="shared" si="23"/>
        <v>-1.6596329504215603</v>
      </c>
      <c r="R130" s="22">
        <f t="shared" si="24"/>
        <v>-4.3557484010348091E-4</v>
      </c>
      <c r="S130" s="20">
        <f t="shared" si="29"/>
        <v>3.0926403373904994</v>
      </c>
      <c r="T130">
        <f t="shared" si="25"/>
        <v>330.9472434014931</v>
      </c>
    </row>
    <row r="131" spans="1:20" x14ac:dyDescent="0.25">
      <c r="A131" s="23">
        <v>298</v>
      </c>
      <c r="B131" s="23" t="s">
        <v>232</v>
      </c>
      <c r="C131" s="23" t="s">
        <v>233</v>
      </c>
      <c r="D131" s="23">
        <v>29.801053599999999</v>
      </c>
      <c r="E131" s="23">
        <v>-95.002072999999996</v>
      </c>
      <c r="F131" s="23">
        <v>29.795537800000002</v>
      </c>
      <c r="G131" s="23">
        <v>-95.035543000000004</v>
      </c>
      <c r="H131" s="20">
        <f t="shared" si="26"/>
        <v>2.0426552348416345</v>
      </c>
      <c r="I131">
        <f t="shared" si="27"/>
        <v>259.23880965964219</v>
      </c>
      <c r="J131" t="str">
        <f t="shared" si="28"/>
        <v>W</v>
      </c>
      <c r="M131" s="21">
        <f t="shared" si="19"/>
        <v>0.52012650588330922</v>
      </c>
      <c r="N131" s="21">
        <f t="shared" si="20"/>
        <v>0.52003023701242779</v>
      </c>
      <c r="O131" s="22">
        <f t="shared" si="21"/>
        <v>-9.6268870881432989E-5</v>
      </c>
      <c r="P131" s="22">
        <f t="shared" si="22"/>
        <v>-1.6580989700700068</v>
      </c>
      <c r="Q131" s="22">
        <f t="shared" si="23"/>
        <v>-1.6586831317706494</v>
      </c>
      <c r="R131" s="22">
        <f t="shared" si="24"/>
        <v>-5.8416170064257145E-4</v>
      </c>
      <c r="S131" s="20">
        <f t="shared" si="29"/>
        <v>2.0426552348416345</v>
      </c>
      <c r="T131">
        <f t="shared" si="25"/>
        <v>259.23880965964219</v>
      </c>
    </row>
    <row r="132" spans="1:20" x14ac:dyDescent="0.25">
      <c r="A132" s="23">
        <v>327</v>
      </c>
      <c r="B132" s="23" t="s">
        <v>232</v>
      </c>
      <c r="C132" s="23" t="s">
        <v>236</v>
      </c>
      <c r="D132" s="23">
        <v>29.801053599999999</v>
      </c>
      <c r="E132" s="23">
        <v>-95.002072999999996</v>
      </c>
      <c r="F132" s="23">
        <v>29.7980518</v>
      </c>
      <c r="G132" s="23">
        <v>-95.034786999999994</v>
      </c>
      <c r="H132" s="20">
        <f t="shared" ref="H132:H153" si="30">S132</f>
        <v>1.9723706755974979</v>
      </c>
      <c r="I132">
        <f t="shared" ref="I132:I153" si="31">T132</f>
        <v>263.95578294793694</v>
      </c>
      <c r="J132" t="str">
        <f t="shared" ref="J132:J163" si="32">GetBearing(I132,Direction_Precision)</f>
        <v>W</v>
      </c>
      <c r="M132" s="21">
        <f t="shared" si="19"/>
        <v>0.52012650588330922</v>
      </c>
      <c r="N132" s="21">
        <f t="shared" si="20"/>
        <v>0.52007411458982289</v>
      </c>
      <c r="O132" s="22">
        <f t="shared" si="21"/>
        <v>-5.2391293486331314E-5</v>
      </c>
      <c r="P132" s="22">
        <f t="shared" si="22"/>
        <v>-1.6580989700700068</v>
      </c>
      <c r="Q132" s="22">
        <f t="shared" si="23"/>
        <v>-1.6586699370815043</v>
      </c>
      <c r="R132" s="22">
        <f t="shared" si="24"/>
        <v>-5.7096701149750295E-4</v>
      </c>
      <c r="S132" s="20">
        <f t="shared" ref="S132:S153" si="33">Planet_Radius*(2*ATAN2(SQRT(1-((SIN(RADIANS(F132-D132)/2)^2)+COS(RADIANS(D132))*COS(RADIANS(F132))*(SIN(RADIANS(G132-E132)/2)^2))),SQRT(((SIN(RADIANS(F132-D132)/2)^2)+COS(RADIANS(D132))*COS(RADIANS(F132))*(SIN(RADIANS(G132-E132)/2)^2)))))</f>
        <v>1.9723706755974979</v>
      </c>
      <c r="T132">
        <f t="shared" si="25"/>
        <v>263.95578294793694</v>
      </c>
    </row>
    <row r="133" spans="1:20" x14ac:dyDescent="0.25">
      <c r="A133" s="23">
        <v>340</v>
      </c>
      <c r="B133" s="23" t="s">
        <v>232</v>
      </c>
      <c r="C133" s="23" t="s">
        <v>238</v>
      </c>
      <c r="D133" s="23">
        <v>29.801053599999999</v>
      </c>
      <c r="E133" s="23">
        <v>-95.002072999999996</v>
      </c>
      <c r="F133" s="23">
        <v>29.7763578</v>
      </c>
      <c r="G133" s="23">
        <v>-94.979593100000002</v>
      </c>
      <c r="H133" s="20">
        <f t="shared" si="30"/>
        <v>2.1745223469155994</v>
      </c>
      <c r="I133">
        <f t="shared" si="31"/>
        <v>141.69713292401826</v>
      </c>
      <c r="J133" t="str">
        <f t="shared" si="32"/>
        <v>SE</v>
      </c>
      <c r="M133" s="21">
        <f t="shared" ref="M133:M153" si="34">RADIANS(D133)</f>
        <v>0.52012650588330922</v>
      </c>
      <c r="N133" s="21">
        <f t="shared" ref="N133:N153" si="35">RADIANS(F133)</f>
        <v>0.51969548286189515</v>
      </c>
      <c r="O133" s="22">
        <f t="shared" ref="O133:O153" si="36">N133-M133</f>
        <v>-4.3102302141406756E-4</v>
      </c>
      <c r="P133" s="22">
        <f t="shared" ref="P133:P153" si="37">RADIANS(E133)</f>
        <v>-1.6580989700700068</v>
      </c>
      <c r="Q133" s="22">
        <f t="shared" ref="Q133:Q153" si="38">RADIANS(G133)</f>
        <v>-1.6577066217994878</v>
      </c>
      <c r="R133" s="22">
        <f t="shared" ref="R133:R153" si="39">Q133-P133</f>
        <v>3.9234827051903842E-4</v>
      </c>
      <c r="S133" s="20">
        <f t="shared" si="33"/>
        <v>2.1745223469155994</v>
      </c>
      <c r="T133">
        <f t="shared" ref="T133:T153" si="40">MOD(DEGREES(ATAN2(COS(N133)*SIN(M133)-SIN(N133)*COS(M133)*COS(-R133),SIN(-R133)*COS(M133)))-180,360)</f>
        <v>141.69713292401826</v>
      </c>
    </row>
    <row r="134" spans="1:20" x14ac:dyDescent="0.25">
      <c r="A134" s="23">
        <v>389</v>
      </c>
      <c r="B134" s="23" t="s">
        <v>232</v>
      </c>
      <c r="C134" s="23" t="s">
        <v>240</v>
      </c>
      <c r="D134" s="23">
        <v>29.801053599999999</v>
      </c>
      <c r="E134" s="23">
        <v>-95.002072999999996</v>
      </c>
      <c r="F134" s="23">
        <v>30.1209141</v>
      </c>
      <c r="G134" s="23">
        <v>-94.169935899999999</v>
      </c>
      <c r="H134" s="20">
        <f t="shared" si="30"/>
        <v>54.494142628562557</v>
      </c>
      <c r="I134">
        <f t="shared" si="31"/>
        <v>66.282552008381572</v>
      </c>
      <c r="J134" t="str">
        <f t="shared" si="32"/>
        <v>NE</v>
      </c>
      <c r="M134" s="21">
        <f t="shared" si="34"/>
        <v>0.52012650588330922</v>
      </c>
      <c r="N134" s="21">
        <f t="shared" si="35"/>
        <v>0.52570912475538456</v>
      </c>
      <c r="O134" s="22">
        <f t="shared" si="36"/>
        <v>5.58261887207534E-3</v>
      </c>
      <c r="P134" s="22">
        <f t="shared" si="37"/>
        <v>-1.6580989700700068</v>
      </c>
      <c r="Q134" s="22">
        <f t="shared" si="38"/>
        <v>-1.6435754378470095</v>
      </c>
      <c r="R134" s="22">
        <f t="shared" si="39"/>
        <v>1.4523532222997293E-2</v>
      </c>
      <c r="S134" s="20">
        <f t="shared" si="33"/>
        <v>54.494142628562557</v>
      </c>
      <c r="T134">
        <f t="shared" si="40"/>
        <v>66.282552008381572</v>
      </c>
    </row>
    <row r="135" spans="1:20" x14ac:dyDescent="0.25">
      <c r="A135" s="23">
        <v>390</v>
      </c>
      <c r="B135" s="23" t="s">
        <v>232</v>
      </c>
      <c r="C135" s="23" t="s">
        <v>242</v>
      </c>
      <c r="D135" s="23">
        <v>29.801053599999999</v>
      </c>
      <c r="E135" s="23">
        <v>-95.002072999999996</v>
      </c>
      <c r="F135" s="23">
        <v>30.093133000000002</v>
      </c>
      <c r="G135" s="23">
        <v>-93.768187800000007</v>
      </c>
      <c r="H135" s="20">
        <f t="shared" si="30"/>
        <v>76.57728391819289</v>
      </c>
      <c r="I135">
        <f t="shared" si="31"/>
        <v>75.028791993338075</v>
      </c>
      <c r="J135" t="str">
        <f t="shared" si="32"/>
        <v>E</v>
      </c>
      <c r="M135" s="21">
        <f t="shared" si="34"/>
        <v>0.52012650588330922</v>
      </c>
      <c r="N135" s="21">
        <f t="shared" si="35"/>
        <v>0.52522425309055876</v>
      </c>
      <c r="O135" s="22">
        <f t="shared" si="36"/>
        <v>5.0977472072495367E-3</v>
      </c>
      <c r="P135" s="22">
        <f t="shared" si="37"/>
        <v>-1.6580989700700068</v>
      </c>
      <c r="Q135" s="22">
        <f t="shared" si="38"/>
        <v>-1.6365636107383783</v>
      </c>
      <c r="R135" s="22">
        <f t="shared" si="39"/>
        <v>2.1535359331628534E-2</v>
      </c>
      <c r="S135" s="20">
        <f t="shared" si="33"/>
        <v>76.57728391819289</v>
      </c>
      <c r="T135">
        <f t="shared" si="40"/>
        <v>75.028791993338075</v>
      </c>
    </row>
    <row r="136" spans="1:20" x14ac:dyDescent="0.25">
      <c r="A136" s="23">
        <v>313</v>
      </c>
      <c r="B136" s="23" t="s">
        <v>244</v>
      </c>
      <c r="C136" s="23" t="s">
        <v>245</v>
      </c>
      <c r="D136" s="23">
        <v>31.136769600000001</v>
      </c>
      <c r="E136" s="23">
        <v>-97.331684999999993</v>
      </c>
      <c r="F136" s="23">
        <v>31.138799800000001</v>
      </c>
      <c r="G136" s="23">
        <v>-97.331395099999995</v>
      </c>
      <c r="H136" s="20">
        <f t="shared" si="30"/>
        <v>0.14131708648573751</v>
      </c>
      <c r="I136">
        <f t="shared" si="31"/>
        <v>6.9682612800550601</v>
      </c>
      <c r="J136" t="str">
        <f t="shared" si="32"/>
        <v>N</v>
      </c>
      <c r="M136" s="21">
        <f t="shared" si="34"/>
        <v>0.5434391479548778</v>
      </c>
      <c r="N136" s="21">
        <f t="shared" si="35"/>
        <v>0.54347458162935181</v>
      </c>
      <c r="O136" s="22">
        <f t="shared" si="36"/>
        <v>3.5433674474005805E-5</v>
      </c>
      <c r="P136" s="22">
        <f t="shared" si="37"/>
        <v>-1.698758369763977</v>
      </c>
      <c r="Q136" s="22">
        <f t="shared" si="38"/>
        <v>-1.6987533100544754</v>
      </c>
      <c r="R136" s="22">
        <f t="shared" si="39"/>
        <v>5.0597095015980642E-6</v>
      </c>
      <c r="S136" s="20">
        <f t="shared" si="33"/>
        <v>0.14131708648573751</v>
      </c>
      <c r="T136">
        <f t="shared" si="40"/>
        <v>6.9682612800550601</v>
      </c>
    </row>
    <row r="137" spans="1:20" x14ac:dyDescent="0.25">
      <c r="A137" s="23">
        <v>314</v>
      </c>
      <c r="B137" s="23" t="s">
        <v>244</v>
      </c>
      <c r="C137" s="23" t="s">
        <v>248</v>
      </c>
      <c r="D137" s="23">
        <v>31.136769600000001</v>
      </c>
      <c r="E137" s="23">
        <v>-97.331684999999993</v>
      </c>
      <c r="F137" s="23">
        <v>31.142931900000001</v>
      </c>
      <c r="G137" s="23">
        <v>-97.328831399999999</v>
      </c>
      <c r="H137" s="20">
        <f t="shared" si="30"/>
        <v>0.45799728180441507</v>
      </c>
      <c r="I137">
        <f t="shared" si="31"/>
        <v>21.621559180931399</v>
      </c>
      <c r="J137" t="str">
        <f t="shared" si="32"/>
        <v>N</v>
      </c>
      <c r="M137" s="21">
        <f t="shared" si="34"/>
        <v>0.5434391479548778</v>
      </c>
      <c r="N137" s="21">
        <f t="shared" si="35"/>
        <v>0.54354670037937347</v>
      </c>
      <c r="O137" s="22">
        <f t="shared" si="36"/>
        <v>1.0755242449567159E-4</v>
      </c>
      <c r="P137" s="22">
        <f t="shared" si="37"/>
        <v>-1.698758369763977</v>
      </c>
      <c r="Q137" s="22">
        <f t="shared" si="38"/>
        <v>-1.6987085650484421</v>
      </c>
      <c r="R137" s="22">
        <f t="shared" si="39"/>
        <v>4.9804715534840227E-5</v>
      </c>
      <c r="S137" s="20">
        <f t="shared" si="33"/>
        <v>0.45799728180441507</v>
      </c>
      <c r="T137">
        <f t="shared" si="40"/>
        <v>21.621559180931399</v>
      </c>
    </row>
    <row r="138" spans="1:20" x14ac:dyDescent="0.25">
      <c r="A138" s="23">
        <v>338</v>
      </c>
      <c r="B138" s="23" t="s">
        <v>244</v>
      </c>
      <c r="C138" s="23" t="s">
        <v>250</v>
      </c>
      <c r="D138" s="23">
        <v>31.136769600000001</v>
      </c>
      <c r="E138" s="23">
        <v>-97.331684999999993</v>
      </c>
      <c r="F138" s="23">
        <v>31.082536300000001</v>
      </c>
      <c r="G138" s="23">
        <v>-97.461098800000002</v>
      </c>
      <c r="H138" s="20">
        <f t="shared" si="30"/>
        <v>8.5235021147707446</v>
      </c>
      <c r="I138">
        <f t="shared" si="31"/>
        <v>243.88651536749489</v>
      </c>
      <c r="J138" t="str">
        <f t="shared" si="32"/>
        <v>SW</v>
      </c>
      <c r="M138" s="21">
        <f t="shared" si="34"/>
        <v>0.5434391479548778</v>
      </c>
      <c r="N138" s="21">
        <f t="shared" si="35"/>
        <v>0.54249259830565599</v>
      </c>
      <c r="O138" s="22">
        <f t="shared" si="36"/>
        <v>-9.4654964922180618E-4</v>
      </c>
      <c r="P138" s="22">
        <f t="shared" si="37"/>
        <v>-1.698758369763977</v>
      </c>
      <c r="Q138" s="22">
        <f t="shared" si="38"/>
        <v>-1.7010170666714945</v>
      </c>
      <c r="R138" s="22">
        <f t="shared" si="39"/>
        <v>-2.2586969075175656E-3</v>
      </c>
      <c r="S138" s="20">
        <f t="shared" si="33"/>
        <v>8.5235021147707446</v>
      </c>
      <c r="T138">
        <f t="shared" si="40"/>
        <v>243.88651536749489</v>
      </c>
    </row>
    <row r="139" spans="1:20" x14ac:dyDescent="0.25">
      <c r="A139" s="23">
        <v>388</v>
      </c>
      <c r="B139" s="23" t="s">
        <v>244</v>
      </c>
      <c r="C139" s="23" t="s">
        <v>214</v>
      </c>
      <c r="D139" s="23">
        <v>31.136769600000001</v>
      </c>
      <c r="E139" s="23">
        <v>-97.331684999999993</v>
      </c>
      <c r="F139" s="23">
        <v>30.644951599999999</v>
      </c>
      <c r="G139" s="23">
        <v>-97.691437100000002</v>
      </c>
      <c r="H139" s="20">
        <f t="shared" si="30"/>
        <v>40.121261405464701</v>
      </c>
      <c r="I139">
        <f t="shared" si="31"/>
        <v>212.02480390190252</v>
      </c>
      <c r="J139" t="str">
        <f t="shared" si="32"/>
        <v>SW</v>
      </c>
      <c r="M139" s="21">
        <f t="shared" si="34"/>
        <v>0.5434391479548778</v>
      </c>
      <c r="N139" s="21">
        <f t="shared" si="35"/>
        <v>0.5348553045343043</v>
      </c>
      <c r="O139" s="22">
        <f t="shared" si="36"/>
        <v>-8.5838434205735004E-3</v>
      </c>
      <c r="P139" s="22">
        <f t="shared" si="37"/>
        <v>-1.698758369763977</v>
      </c>
      <c r="Q139" s="22">
        <f t="shared" si="38"/>
        <v>-1.7050372283999409</v>
      </c>
      <c r="R139" s="22">
        <f t="shared" si="39"/>
        <v>-6.2788586359638909E-3</v>
      </c>
      <c r="S139" s="20">
        <f t="shared" si="33"/>
        <v>40.121261405464701</v>
      </c>
      <c r="T139">
        <f t="shared" si="40"/>
        <v>212.02480390190252</v>
      </c>
    </row>
    <row r="140" spans="1:20" x14ac:dyDescent="0.25">
      <c r="A140" s="23">
        <v>353</v>
      </c>
      <c r="B140" s="23" t="s">
        <v>244</v>
      </c>
      <c r="C140" s="23" t="s">
        <v>252</v>
      </c>
      <c r="D140" s="23">
        <v>31.136769600000001</v>
      </c>
      <c r="E140" s="23">
        <v>-97.331684999999993</v>
      </c>
      <c r="F140" s="23">
        <v>31.116057000000001</v>
      </c>
      <c r="G140" s="23">
        <v>-97.4135852</v>
      </c>
      <c r="H140" s="20">
        <f t="shared" si="30"/>
        <v>5.0510361234353978</v>
      </c>
      <c r="I140">
        <f t="shared" si="31"/>
        <v>253.51987478562359</v>
      </c>
      <c r="J140" t="str">
        <f t="shared" si="32"/>
        <v>W</v>
      </c>
      <c r="M140" s="21">
        <f t="shared" si="34"/>
        <v>0.5434391479548778</v>
      </c>
      <c r="N140" s="21">
        <f t="shared" si="35"/>
        <v>0.54307764488822929</v>
      </c>
      <c r="O140" s="22">
        <f t="shared" si="36"/>
        <v>-3.6150306664850529E-4</v>
      </c>
      <c r="P140" s="22">
        <f t="shared" si="37"/>
        <v>-1.698758369763977</v>
      </c>
      <c r="Q140" s="22">
        <f t="shared" si="38"/>
        <v>-1.700187797912019</v>
      </c>
      <c r="R140" s="22">
        <f t="shared" si="39"/>
        <v>-1.4294281480420334E-3</v>
      </c>
      <c r="S140" s="20">
        <f t="shared" si="33"/>
        <v>5.0510361234353978</v>
      </c>
      <c r="T140">
        <f t="shared" si="40"/>
        <v>253.51987478562359</v>
      </c>
    </row>
    <row r="141" spans="1:20" x14ac:dyDescent="0.25">
      <c r="A141" s="23">
        <v>381</v>
      </c>
      <c r="B141" s="23" t="s">
        <v>254</v>
      </c>
      <c r="C141" s="23" t="s">
        <v>199</v>
      </c>
      <c r="D141" s="23">
        <v>32.716562000000003</v>
      </c>
      <c r="E141" s="23">
        <v>-96.323205999999999</v>
      </c>
      <c r="F141" s="23">
        <v>32.700125700000001</v>
      </c>
      <c r="G141" s="23">
        <v>-96.278649799999997</v>
      </c>
      <c r="H141" s="20">
        <f t="shared" si="30"/>
        <v>2.8283809241497546</v>
      </c>
      <c r="I141">
        <f t="shared" si="31"/>
        <v>113.6849876785692</v>
      </c>
      <c r="J141" t="str">
        <f t="shared" si="32"/>
        <v>SE</v>
      </c>
      <c r="M141" s="21">
        <f t="shared" si="34"/>
        <v>0.57101172683286117</v>
      </c>
      <c r="N141" s="21">
        <f t="shared" si="35"/>
        <v>0.57072485928101557</v>
      </c>
      <c r="O141" s="22">
        <f t="shared" si="36"/>
        <v>-2.868675518455932E-4</v>
      </c>
      <c r="P141" s="22">
        <f t="shared" si="37"/>
        <v>-1.6811570907767572</v>
      </c>
      <c r="Q141" s="22">
        <f t="shared" si="38"/>
        <v>-1.68037943838458</v>
      </c>
      <c r="R141" s="22">
        <f t="shared" si="39"/>
        <v>7.7765239217719717E-4</v>
      </c>
      <c r="S141" s="20">
        <f t="shared" si="33"/>
        <v>2.8283809241497546</v>
      </c>
      <c r="T141">
        <f t="shared" si="40"/>
        <v>113.6849876785692</v>
      </c>
    </row>
    <row r="142" spans="1:20" x14ac:dyDescent="0.25">
      <c r="A142" s="23">
        <v>321</v>
      </c>
      <c r="B142" s="23" t="s">
        <v>254</v>
      </c>
      <c r="C142" s="23" t="s">
        <v>248</v>
      </c>
      <c r="D142" s="23">
        <v>32.716562000000003</v>
      </c>
      <c r="E142" s="23">
        <v>-96.323205999999999</v>
      </c>
      <c r="F142" s="23">
        <v>32.6995413</v>
      </c>
      <c r="G142" s="23">
        <v>-96.276306199999993</v>
      </c>
      <c r="H142" s="20">
        <f t="shared" si="30"/>
        <v>2.9694399643553022</v>
      </c>
      <c r="I142">
        <f t="shared" si="31"/>
        <v>113.34351711609702</v>
      </c>
      <c r="J142" t="str">
        <f t="shared" si="32"/>
        <v>SE</v>
      </c>
      <c r="M142" s="21">
        <f t="shared" si="34"/>
        <v>0.57101172683286117</v>
      </c>
      <c r="N142" s="21">
        <f t="shared" si="35"/>
        <v>0.57071465957686685</v>
      </c>
      <c r="O142" s="22">
        <f t="shared" si="36"/>
        <v>-2.9706725599432104E-4</v>
      </c>
      <c r="P142" s="22">
        <f t="shared" si="37"/>
        <v>-1.6811570907767572</v>
      </c>
      <c r="Q142" s="22">
        <f t="shared" si="38"/>
        <v>-1.6803385348482303</v>
      </c>
      <c r="R142" s="22">
        <f t="shared" si="39"/>
        <v>8.1855592852697612E-4</v>
      </c>
      <c r="S142" s="20">
        <f t="shared" si="33"/>
        <v>2.9694399643553022</v>
      </c>
      <c r="T142">
        <f t="shared" si="40"/>
        <v>113.34351711609702</v>
      </c>
    </row>
    <row r="143" spans="1:20" x14ac:dyDescent="0.25">
      <c r="A143" s="23">
        <v>387</v>
      </c>
      <c r="B143" s="23" t="s">
        <v>254</v>
      </c>
      <c r="C143" s="23" t="s">
        <v>262</v>
      </c>
      <c r="D143" s="23">
        <v>32.716562000000003</v>
      </c>
      <c r="E143" s="23">
        <v>-96.323205999999999</v>
      </c>
      <c r="F143" s="23">
        <v>32.743550200000001</v>
      </c>
      <c r="G143" s="23">
        <v>-96.449913699999996</v>
      </c>
      <c r="H143" s="20">
        <f t="shared" si="30"/>
        <v>7.5970565767472165</v>
      </c>
      <c r="I143">
        <f t="shared" si="31"/>
        <v>284.17422210727881</v>
      </c>
      <c r="J143" t="str">
        <f t="shared" si="32"/>
        <v>W</v>
      </c>
      <c r="M143" s="21">
        <f t="shared" si="34"/>
        <v>0.57101172683286117</v>
      </c>
      <c r="N143" s="21">
        <f t="shared" si="35"/>
        <v>0.57148275978204777</v>
      </c>
      <c r="O143" s="22">
        <f t="shared" si="36"/>
        <v>4.7103294918660055E-4</v>
      </c>
      <c r="P143" s="22">
        <f t="shared" si="37"/>
        <v>-1.6811570907767572</v>
      </c>
      <c r="Q143" s="22">
        <f t="shared" si="38"/>
        <v>-1.6833685573293864</v>
      </c>
      <c r="R143" s="22">
        <f t="shared" si="39"/>
        <v>-2.2114665526291599E-3</v>
      </c>
      <c r="S143" s="20">
        <f t="shared" si="33"/>
        <v>7.5970565767472165</v>
      </c>
      <c r="T143">
        <f t="shared" si="40"/>
        <v>284.17422210727881</v>
      </c>
    </row>
    <row r="144" spans="1:20" x14ac:dyDescent="0.25">
      <c r="A144" s="23">
        <v>339</v>
      </c>
      <c r="B144" s="23" t="s">
        <v>254</v>
      </c>
      <c r="C144" s="23" t="s">
        <v>259</v>
      </c>
      <c r="D144" s="23">
        <v>32.716562000000003</v>
      </c>
      <c r="E144" s="23">
        <v>-96.323205999999999</v>
      </c>
      <c r="F144" s="23">
        <v>32.738869100000002</v>
      </c>
      <c r="G144" s="23">
        <v>-96.306368300000003</v>
      </c>
      <c r="H144" s="20">
        <f t="shared" si="30"/>
        <v>1.8257452977054247</v>
      </c>
      <c r="I144">
        <f t="shared" si="31"/>
        <v>32.419542405188395</v>
      </c>
      <c r="J144" t="str">
        <f t="shared" si="32"/>
        <v>NE</v>
      </c>
      <c r="M144" s="21">
        <f t="shared" si="34"/>
        <v>0.57101172683286117</v>
      </c>
      <c r="N144" s="21">
        <f t="shared" si="35"/>
        <v>0.57140105917443273</v>
      </c>
      <c r="O144" s="22">
        <f t="shared" si="36"/>
        <v>3.8933234157156882E-4</v>
      </c>
      <c r="P144" s="22">
        <f t="shared" si="37"/>
        <v>-1.6811570907767572</v>
      </c>
      <c r="Q144" s="22">
        <f t="shared" si="38"/>
        <v>-1.6808632174732943</v>
      </c>
      <c r="R144" s="22">
        <f t="shared" si="39"/>
        <v>2.9387330346297702E-4</v>
      </c>
      <c r="S144" s="20">
        <f t="shared" si="33"/>
        <v>1.8257452977054247</v>
      </c>
      <c r="T144">
        <f t="shared" si="40"/>
        <v>32.419542405188395</v>
      </c>
    </row>
    <row r="145" spans="1:20" x14ac:dyDescent="0.25">
      <c r="A145" s="23">
        <v>317</v>
      </c>
      <c r="B145" s="23" t="s">
        <v>254</v>
      </c>
      <c r="C145" s="23" t="s">
        <v>255</v>
      </c>
      <c r="D145" s="23">
        <v>32.716562000000003</v>
      </c>
      <c r="E145" s="23">
        <v>-96.323205999999999</v>
      </c>
      <c r="F145" s="23">
        <v>32.703899</v>
      </c>
      <c r="G145" s="23">
        <v>-96.2769057</v>
      </c>
      <c r="H145" s="20">
        <f t="shared" si="30"/>
        <v>2.8303452103853814</v>
      </c>
      <c r="I145">
        <f t="shared" si="31"/>
        <v>108.01898026484508</v>
      </c>
      <c r="J145" t="str">
        <f t="shared" si="32"/>
        <v>E</v>
      </c>
      <c r="M145" s="21">
        <f t="shared" si="34"/>
        <v>0.57101172683286117</v>
      </c>
      <c r="N145" s="21">
        <f t="shared" si="35"/>
        <v>0.57079071578968099</v>
      </c>
      <c r="O145" s="22">
        <f t="shared" si="36"/>
        <v>-2.2101104318017484E-4</v>
      </c>
      <c r="P145" s="22">
        <f t="shared" si="37"/>
        <v>-1.6811570907767572</v>
      </c>
      <c r="Q145" s="22">
        <f t="shared" si="38"/>
        <v>-1.680348998097096</v>
      </c>
      <c r="R145" s="22">
        <f t="shared" si="39"/>
        <v>8.0809267966119869E-4</v>
      </c>
      <c r="S145" s="20">
        <f t="shared" si="33"/>
        <v>2.8303452103853814</v>
      </c>
      <c r="T145">
        <f t="shared" si="40"/>
        <v>108.01898026484508</v>
      </c>
    </row>
    <row r="146" spans="1:20" x14ac:dyDescent="0.25">
      <c r="A146" s="23">
        <v>374</v>
      </c>
      <c r="B146" s="23" t="s">
        <v>264</v>
      </c>
      <c r="C146" s="23" t="s">
        <v>248</v>
      </c>
      <c r="D146" s="23">
        <v>33.024270000000001</v>
      </c>
      <c r="E146" s="23">
        <v>-97.278319999999994</v>
      </c>
      <c r="F146" s="23">
        <v>33.028018000000003</v>
      </c>
      <c r="G146" s="23">
        <v>-97.272504400000003</v>
      </c>
      <c r="H146" s="20">
        <f t="shared" si="30"/>
        <v>0.42492208050189323</v>
      </c>
      <c r="I146">
        <f t="shared" si="31"/>
        <v>52.453025990151161</v>
      </c>
      <c r="J146" t="str">
        <f t="shared" si="32"/>
        <v>NE</v>
      </c>
      <c r="M146" s="21">
        <f t="shared" si="34"/>
        <v>0.5763822445675878</v>
      </c>
      <c r="N146" s="21">
        <f t="shared" si="35"/>
        <v>0.57644765950795263</v>
      </c>
      <c r="O146" s="22">
        <f t="shared" si="36"/>
        <v>6.5414940364827423E-5</v>
      </c>
      <c r="P146" s="22">
        <f t="shared" si="37"/>
        <v>-1.6978269748086501</v>
      </c>
      <c r="Q146" s="22">
        <f t="shared" si="38"/>
        <v>-1.6977254734406713</v>
      </c>
      <c r="R146" s="22">
        <f t="shared" si="39"/>
        <v>1.0150136797881792E-4</v>
      </c>
      <c r="S146" s="20">
        <f t="shared" si="33"/>
        <v>0.42492208050189323</v>
      </c>
      <c r="T146">
        <f t="shared" si="40"/>
        <v>52.453025990151161</v>
      </c>
    </row>
    <row r="147" spans="1:20" x14ac:dyDescent="0.25">
      <c r="A147" s="23">
        <v>384</v>
      </c>
      <c r="B147" s="23" t="s">
        <v>264</v>
      </c>
      <c r="C147" s="23" t="s">
        <v>274</v>
      </c>
      <c r="D147" s="23">
        <v>33.024270000000001</v>
      </c>
      <c r="E147" s="23">
        <v>-97.278319999999994</v>
      </c>
      <c r="F147" s="23">
        <v>33.192957999999997</v>
      </c>
      <c r="G147" s="23">
        <v>-97.096186599999996</v>
      </c>
      <c r="H147" s="20">
        <f t="shared" si="30"/>
        <v>15.714842308173537</v>
      </c>
      <c r="I147">
        <f t="shared" si="31"/>
        <v>42.17600107586037</v>
      </c>
      <c r="J147" t="str">
        <f t="shared" si="32"/>
        <v>NE</v>
      </c>
      <c r="M147" s="21">
        <f t="shared" si="34"/>
        <v>0.5763822445675878</v>
      </c>
      <c r="N147" s="21">
        <f t="shared" si="35"/>
        <v>0.57932640557619197</v>
      </c>
      <c r="O147" s="22">
        <f t="shared" si="36"/>
        <v>2.9441610086041736E-3</v>
      </c>
      <c r="P147" s="22">
        <f t="shared" si="37"/>
        <v>-1.6978269748086501</v>
      </c>
      <c r="Q147" s="22">
        <f t="shared" si="38"/>
        <v>-1.6946481473007984</v>
      </c>
      <c r="R147" s="22">
        <f t="shared" si="39"/>
        <v>3.1788275078517003E-3</v>
      </c>
      <c r="S147" s="20">
        <f t="shared" si="33"/>
        <v>15.714842308173537</v>
      </c>
      <c r="T147">
        <f t="shared" si="40"/>
        <v>42.17600107586037</v>
      </c>
    </row>
    <row r="148" spans="1:20" x14ac:dyDescent="0.25">
      <c r="A148" s="23">
        <v>385</v>
      </c>
      <c r="B148" s="23" t="s">
        <v>264</v>
      </c>
      <c r="C148" s="23" t="s">
        <v>276</v>
      </c>
      <c r="D148" s="23">
        <v>33.024270000000001</v>
      </c>
      <c r="E148" s="23">
        <v>-97.278319999999994</v>
      </c>
      <c r="F148" s="23">
        <v>32.965806299999997</v>
      </c>
      <c r="G148" s="23">
        <v>-97.414377900000005</v>
      </c>
      <c r="H148" s="20">
        <f t="shared" si="30"/>
        <v>8.8590590140601169</v>
      </c>
      <c r="I148">
        <f t="shared" si="31"/>
        <v>242.8357054492175</v>
      </c>
      <c r="J148" t="str">
        <f t="shared" si="32"/>
        <v>SW</v>
      </c>
      <c r="M148" s="21">
        <f t="shared" si="34"/>
        <v>0.5763822445675878</v>
      </c>
      <c r="N148" s="21">
        <f t="shared" si="35"/>
        <v>0.57536186050968952</v>
      </c>
      <c r="O148" s="22">
        <f t="shared" si="36"/>
        <v>-1.0203840578982826E-3</v>
      </c>
      <c r="P148" s="22">
        <f t="shared" si="37"/>
        <v>-1.6978269748086501</v>
      </c>
      <c r="Q148" s="22">
        <f t="shared" si="38"/>
        <v>-1.7002016331369996</v>
      </c>
      <c r="R148" s="22">
        <f t="shared" si="39"/>
        <v>-2.3746583283494882E-3</v>
      </c>
      <c r="S148" s="20">
        <f t="shared" si="33"/>
        <v>8.8590590140601169</v>
      </c>
      <c r="T148">
        <f t="shared" si="40"/>
        <v>242.8357054492175</v>
      </c>
    </row>
    <row r="149" spans="1:20" x14ac:dyDescent="0.25">
      <c r="A149" s="23">
        <v>386</v>
      </c>
      <c r="B149" s="23" t="s">
        <v>264</v>
      </c>
      <c r="C149" s="23" t="s">
        <v>278</v>
      </c>
      <c r="D149" s="23">
        <v>33.024270000000001</v>
      </c>
      <c r="E149" s="23">
        <v>-97.278319999999994</v>
      </c>
      <c r="F149" s="23">
        <v>32.893801799999999</v>
      </c>
      <c r="G149" s="23">
        <v>-97.2891908</v>
      </c>
      <c r="H149" s="20">
        <f t="shared" si="30"/>
        <v>9.0364848470473902</v>
      </c>
      <c r="I149">
        <f t="shared" si="31"/>
        <v>183.99618087208691</v>
      </c>
      <c r="J149" t="str">
        <f t="shared" si="32"/>
        <v>S</v>
      </c>
      <c r="M149" s="21">
        <f t="shared" si="34"/>
        <v>0.5763822445675878</v>
      </c>
      <c r="N149" s="21">
        <f t="shared" si="35"/>
        <v>0.57410514490843734</v>
      </c>
      <c r="O149" s="22">
        <f t="shared" si="36"/>
        <v>-2.2770996591504611E-3</v>
      </c>
      <c r="P149" s="22">
        <f t="shared" si="37"/>
        <v>-1.6978269748086501</v>
      </c>
      <c r="Q149" s="22">
        <f t="shared" si="38"/>
        <v>-1.6980167060609761</v>
      </c>
      <c r="R149" s="22">
        <f t="shared" si="39"/>
        <v>-1.8973125232601973E-4</v>
      </c>
      <c r="S149" s="20">
        <f t="shared" si="33"/>
        <v>9.0364848470473902</v>
      </c>
      <c r="T149">
        <f t="shared" si="40"/>
        <v>183.99618087208691</v>
      </c>
    </row>
    <row r="150" spans="1:20" x14ac:dyDescent="0.25">
      <c r="A150" s="23">
        <v>371</v>
      </c>
      <c r="B150" s="23" t="s">
        <v>264</v>
      </c>
      <c r="C150" s="23" t="s">
        <v>268</v>
      </c>
      <c r="D150" s="23">
        <v>33.024270000000001</v>
      </c>
      <c r="E150" s="23">
        <v>-97.278319999999994</v>
      </c>
      <c r="F150" s="23">
        <v>33.013998000000001</v>
      </c>
      <c r="G150" s="23">
        <v>-97.221741199999997</v>
      </c>
      <c r="H150" s="20">
        <f t="shared" si="30"/>
        <v>3.3537904423027474</v>
      </c>
      <c r="I150">
        <f t="shared" si="31"/>
        <v>102.23267615565283</v>
      </c>
      <c r="J150" t="str">
        <f t="shared" si="32"/>
        <v>E</v>
      </c>
      <c r="M150" s="21">
        <f t="shared" si="34"/>
        <v>0.5763822445675878</v>
      </c>
      <c r="N150" s="21">
        <f t="shared" si="35"/>
        <v>0.57620296434682294</v>
      </c>
      <c r="O150" s="22">
        <f t="shared" si="36"/>
        <v>-1.7928022076485473E-4</v>
      </c>
      <c r="P150" s="22">
        <f t="shared" si="37"/>
        <v>-1.6978269748086501</v>
      </c>
      <c r="Q150" s="22">
        <f t="shared" si="38"/>
        <v>-1.6968394884618228</v>
      </c>
      <c r="R150" s="22">
        <f t="shared" si="39"/>
        <v>9.874863468273265E-4</v>
      </c>
      <c r="S150" s="20">
        <f t="shared" si="33"/>
        <v>3.3537904423027474</v>
      </c>
      <c r="T150">
        <f t="shared" si="40"/>
        <v>102.23267615565283</v>
      </c>
    </row>
    <row r="151" spans="1:20" x14ac:dyDescent="0.25">
      <c r="A151" s="23">
        <v>372</v>
      </c>
      <c r="B151" s="23" t="s">
        <v>264</v>
      </c>
      <c r="C151" s="23" t="s">
        <v>210</v>
      </c>
      <c r="D151" s="23">
        <v>33.024270000000001</v>
      </c>
      <c r="E151" s="23">
        <v>-97.278319999999994</v>
      </c>
      <c r="F151" s="23">
        <v>32.957948899999998</v>
      </c>
      <c r="G151" s="23">
        <v>-97.307864800000004</v>
      </c>
      <c r="H151" s="20">
        <f t="shared" si="30"/>
        <v>4.8917776089423715</v>
      </c>
      <c r="I151">
        <f t="shared" si="31"/>
        <v>200.48013839921197</v>
      </c>
      <c r="J151" t="str">
        <f t="shared" si="32"/>
        <v>S</v>
      </c>
      <c r="M151" s="21">
        <f t="shared" si="34"/>
        <v>0.5763822445675878</v>
      </c>
      <c r="N151" s="21">
        <f t="shared" si="35"/>
        <v>0.57522472300904337</v>
      </c>
      <c r="O151" s="22">
        <f t="shared" si="36"/>
        <v>-1.1575215585444276E-3</v>
      </c>
      <c r="P151" s="22">
        <f t="shared" si="37"/>
        <v>-1.6978269748086501</v>
      </c>
      <c r="Q151" s="22">
        <f t="shared" si="38"/>
        <v>-1.6983426288454935</v>
      </c>
      <c r="R151" s="22">
        <f t="shared" si="39"/>
        <v>-5.1565403684339373E-4</v>
      </c>
      <c r="S151" s="20">
        <f t="shared" si="33"/>
        <v>4.8917776089423715</v>
      </c>
      <c r="T151">
        <f t="shared" si="40"/>
        <v>200.48013839921197</v>
      </c>
    </row>
    <row r="152" spans="1:20" x14ac:dyDescent="0.25">
      <c r="A152" s="23">
        <v>373</v>
      </c>
      <c r="B152" s="23" t="s">
        <v>264</v>
      </c>
      <c r="C152" s="23" t="s">
        <v>271</v>
      </c>
      <c r="D152" s="23">
        <v>33.024270000000001</v>
      </c>
      <c r="E152" s="23">
        <v>-97.278319999999994</v>
      </c>
      <c r="F152" s="23">
        <v>33.025107400000003</v>
      </c>
      <c r="G152" s="23">
        <v>-97.273637800000003</v>
      </c>
      <c r="H152" s="20">
        <f t="shared" si="30"/>
        <v>0.27734364796608979</v>
      </c>
      <c r="I152">
        <f t="shared" si="31"/>
        <v>77.959926624273919</v>
      </c>
      <c r="J152" t="str">
        <f t="shared" si="32"/>
        <v>E</v>
      </c>
      <c r="M152" s="21">
        <f t="shared" si="34"/>
        <v>0.5763822445675878</v>
      </c>
      <c r="N152" s="21">
        <f t="shared" si="35"/>
        <v>0.57639685995474399</v>
      </c>
      <c r="O152" s="22">
        <f t="shared" si="36"/>
        <v>1.4615387156191595E-5</v>
      </c>
      <c r="P152" s="22">
        <f t="shared" si="37"/>
        <v>-1.6978269748086501</v>
      </c>
      <c r="Q152" s="22">
        <f t="shared" si="38"/>
        <v>-1.6977452550024135</v>
      </c>
      <c r="R152" s="22">
        <f t="shared" si="39"/>
        <v>8.1719806236613124E-5</v>
      </c>
      <c r="S152" s="20">
        <f t="shared" si="33"/>
        <v>0.27734364796608979</v>
      </c>
      <c r="T152">
        <f t="shared" si="40"/>
        <v>77.959926624273919</v>
      </c>
    </row>
    <row r="153" spans="1:20" x14ac:dyDescent="0.25">
      <c r="A153" s="23">
        <v>370</v>
      </c>
      <c r="B153" s="23" t="s">
        <v>264</v>
      </c>
      <c r="C153" s="23" t="s">
        <v>265</v>
      </c>
      <c r="D153" s="23">
        <v>33.024270000000001</v>
      </c>
      <c r="E153" s="23">
        <v>-97.278319999999994</v>
      </c>
      <c r="F153" s="23">
        <v>33.025672700000001</v>
      </c>
      <c r="G153" s="23">
        <v>-97.274549699999994</v>
      </c>
      <c r="H153" s="20">
        <f t="shared" si="30"/>
        <v>0.23895106696532456</v>
      </c>
      <c r="I153">
        <f t="shared" si="31"/>
        <v>66.072648223759643</v>
      </c>
      <c r="J153" t="str">
        <f t="shared" si="32"/>
        <v>NE</v>
      </c>
      <c r="M153" s="21">
        <f t="shared" si="34"/>
        <v>0.5763822445675878</v>
      </c>
      <c r="N153" s="21">
        <f t="shared" si="35"/>
        <v>0.57640672630100553</v>
      </c>
      <c r="O153" s="22">
        <f t="shared" si="36"/>
        <v>2.4481733417736073E-5</v>
      </c>
      <c r="P153" s="22">
        <f t="shared" si="37"/>
        <v>-1.6978269748086501</v>
      </c>
      <c r="Q153" s="22">
        <f t="shared" si="38"/>
        <v>-1.6977611706598623</v>
      </c>
      <c r="R153" s="22">
        <f t="shared" si="39"/>
        <v>6.5804148787762529E-5</v>
      </c>
      <c r="S153" s="20">
        <f t="shared" si="33"/>
        <v>0.23895106696532456</v>
      </c>
      <c r="T153">
        <f t="shared" si="40"/>
        <v>66.072648223759643</v>
      </c>
    </row>
  </sheetData>
  <mergeCells count="1">
    <mergeCell ref="A2:J2"/>
  </mergeCells>
  <dataValidations count="1">
    <dataValidation type="list" allowBlank="1" showInputMessage="1" showErrorMessage="1" sqref="J1">
      <formula1>"1,2,3"</formula1>
    </dataValidation>
  </dataValidations>
  <pageMargins left="0.7" right="0.7" top="0.75" bottom="0.75" header="0.3" footer="0.3"/>
  <pageSetup orientation="portrait"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GoogleDistance</vt:lpstr>
      <vt:lpstr>Bearing1</vt:lpstr>
      <vt:lpstr>Bearing2</vt:lpstr>
      <vt:lpstr>Direction_Precision</vt:lpstr>
      <vt:lpstr>Planet_Radius</vt:lpstr>
      <vt:lpstr>PRECISION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Ball;Desmond Oshiwambo</dc:creator>
  <cp:lastModifiedBy>Ralph Avery</cp:lastModifiedBy>
  <dcterms:created xsi:type="dcterms:W3CDTF">2014-04-16T00:15:27Z</dcterms:created>
  <dcterms:modified xsi:type="dcterms:W3CDTF">2019-09-03T15:34:26Z</dcterms:modified>
</cp:coreProperties>
</file>